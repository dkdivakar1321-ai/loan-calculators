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 EMI" sheetId="1" r:id="rId5"/>
    <sheet state="visible" name="Amortization" sheetId="2" r:id="rId6"/>
    <sheet state="visible" name="SIP Planner" sheetId="3" r:id="rId7"/>
    <sheet state="visible" name="Savings Comparison" sheetId="4" r:id="rId8"/>
  </sheets>
  <definedNames/>
  <calcPr/>
</workbook>
</file>

<file path=xl/sharedStrings.xml><?xml version="1.0" encoding="utf-8"?>
<sst xmlns="http://schemas.openxmlformats.org/spreadsheetml/2006/main" count="51" uniqueCount="50">
  <si>
    <t>Loan EMI Calculator</t>
  </si>
  <si>
    <t>Amortization Schedule (linked to Loan EMI sheet, up to 30 years)</t>
  </si>
  <si>
    <t>Where does ₹1,00,000 grow more? (5-year comparison)</t>
  </si>
  <si>
    <t>Rates are illustrative inputs - replace with current rates from the bank's website.</t>
  </si>
  <si>
    <t>Amount invested</t>
  </si>
  <si>
    <t>Loan amount</t>
  </si>
  <si>
    <t>Month</t>
  </si>
  <si>
    <t>Annual interest rate</t>
  </si>
  <si>
    <t>Years</t>
  </si>
  <si>
    <t>Opening balance</t>
  </si>
  <si>
    <t>EMI</t>
  </si>
  <si>
    <t>Interest</t>
  </si>
  <si>
    <t>Principal</t>
  </si>
  <si>
    <t>Closing balance</t>
  </si>
  <si>
    <t>Option</t>
  </si>
  <si>
    <t>Tenure (years)</t>
  </si>
  <si>
    <t>Annual rate</t>
  </si>
  <si>
    <t>Compounding per year</t>
  </si>
  <si>
    <t>Maturity value</t>
  </si>
  <si>
    <t>Gain</t>
  </si>
  <si>
    <t>Results</t>
  </si>
  <si>
    <t>Savings account (illustrative)</t>
  </si>
  <si>
    <t>Monthly interest rate</t>
  </si>
  <si>
    <t>Number of months</t>
  </si>
  <si>
    <t>Monthly EMI</t>
  </si>
  <si>
    <t>Fixed deposit (illustrative)</t>
  </si>
  <si>
    <t>Debt mutual fund (illustrative)</t>
  </si>
  <si>
    <t>Equity mutual fund (illustrative)</t>
  </si>
  <si>
    <t>Total payment</t>
  </si>
  <si>
    <t>Equity returns are not assured and carry market risk. For learning purposes only.</t>
  </si>
  <si>
    <t>Total interest</t>
  </si>
  <si>
    <t>Interest as % of loan</t>
  </si>
  <si>
    <t>SIP (Systematic Investment Plan) Planner</t>
  </si>
  <si>
    <t>Edit only the blue cells with yellow fill. Returns are an assumption, not a guarantee.</t>
  </si>
  <si>
    <t>Monthly SIP amount</t>
  </si>
  <si>
    <t>Expected annual return</t>
  </si>
  <si>
    <t>Investment period (years)</t>
  </si>
  <si>
    <t>Annual step-up in SIP</t>
  </si>
  <si>
    <t>Total invested</t>
  </si>
  <si>
    <t>Final corpus value</t>
  </si>
  <si>
    <t>Wealth gained</t>
  </si>
  <si>
    <t>Corpus / invested (x)</t>
  </si>
  <si>
    <t>Year-wise growth (monthly compounding; SIP invested at start of each month; step-up applied yearly).</t>
  </si>
  <si>
    <t>Monthly return used</t>
  </si>
  <si>
    <t>Year</t>
  </si>
  <si>
    <t>Invested in year</t>
  </si>
  <si>
    <t>Cumulative invested</t>
  </si>
  <si>
    <t>Monthly SIP in year</t>
  </si>
  <si>
    <t>Corpus at year end</t>
  </si>
  <si>
    <t>Assumption: expected return is user-entered (default 12% p.a. is illustrative, not guaranteed). Mutual fund returns are subject to market risk.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</si>
</sst>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₹#,##0;&quot;(₹&quot;#,##0\);\-"/>
    <numFmt numFmtId="165" formatCode="0.0000%"/>
    <numFmt numFmtId="166" formatCode="0.0%"/>
    <numFmt numFmtId="167" formatCode="0.00\x"/>
  </numFmts>
  <fonts count="7">
    <font>
      <sz val="11.0"/>
      <color theme="1"/>
      <name val="Calibri"/>
      <scheme val="minor"/>
    </font>
    <font>
      <b/>
      <sz val="14.0"/>
      <color rgb="FFB02A30"/>
      <name val="Arial"/>
    </font>
    <font>
      <i/>
      <sz val="9.0"/>
      <color rgb="FF595959"/>
      <name val="Arial"/>
    </font>
    <font>
      <b/>
      <sz val="11.0"/>
      <color theme="1"/>
      <name val="Arial"/>
    </font>
    <font>
      <sz val="11.0"/>
      <color rgb="FF0000FF"/>
      <name val="Arial"/>
    </font>
    <font>
      <b/>
      <sz val="11.0"/>
      <color rgb="FFFFFFFF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B02A30"/>
        <bgColor rgb="FFB02A3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164" xfId="0" applyAlignment="1" applyBorder="1" applyFill="1" applyFont="1" applyNumberFormat="1">
      <alignment shrinkToFit="0" vertical="bottom" wrapText="0"/>
    </xf>
    <xf borderId="1" fillId="3" fontId="5" numFmtId="0" xfId="0" applyAlignment="1" applyBorder="1" applyFill="1" applyFont="1">
      <alignment horizontal="center"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4" numFmtId="10" xfId="0" applyAlignment="1" applyBorder="1" applyFill="1" applyFont="1" applyNumberFormat="1">
      <alignment shrinkToFit="0" vertical="bottom" wrapText="0"/>
    </xf>
    <xf borderId="1" fillId="3" fontId="5" numFmtId="0" xfId="0" applyAlignment="1" applyBorder="1" applyFill="1" applyFont="1">
      <alignment horizontal="center" shrinkToFit="0" vertical="bottom" wrapText="1"/>
    </xf>
    <xf borderId="1" fillId="2" fontId="4" numFmtId="1" xfId="0" applyAlignment="1" applyBorder="1" applyFill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6" numFmtId="165" xfId="0" applyAlignment="1" applyBorder="1" applyFont="1" applyNumberForma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1" fillId="0" fontId="6" numFmtId="1" xfId="0" applyAlignment="1" applyBorder="1" applyFont="1" applyNumberFormat="1">
      <alignment shrinkToFit="0" vertical="bottom" wrapText="0"/>
    </xf>
    <xf borderId="1" fillId="0" fontId="6" numFmtId="166" xfId="0" applyAlignment="1" applyBorder="1" applyFont="1" applyNumberFormat="1">
      <alignment shrinkToFit="0" vertical="bottom" wrapText="0"/>
    </xf>
    <xf borderId="1" fillId="0" fontId="6" numFmtId="167" xfId="0" applyAlignment="1" applyBorder="1" applyFont="1" applyNumberForma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Invested vs Corpus</a:t>
            </a:r>
          </a:p>
        </c:rich>
      </c:tx>
      <c:overlay val="0"/>
    </c:title>
    <c:plotArea>
      <c:layout/>
      <c:lineChart>
        <c:ser>
          <c:idx val="0"/>
          <c:order val="0"/>
          <c:tx>
            <c:v>Cumulative invested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'SIP Planner'!$A$19:$A$48</c:f>
            </c:strRef>
          </c:cat>
          <c:val>
            <c:numRef>
              <c:f>'SIP Planner'!$C$19:$C$48</c:f>
              <c:numCache/>
            </c:numRef>
          </c:val>
          <c:smooth val="1"/>
        </c:ser>
        <c:ser>
          <c:idx val="1"/>
          <c:order val="1"/>
          <c:tx>
            <c:v>Corpus at year end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'SIP Planner'!$A$19:$A$48</c:f>
            </c:strRef>
          </c:cat>
          <c:val>
            <c:numRef>
              <c:f>'SIP Planner'!$E$19:$E$48</c:f>
              <c:numCache/>
            </c:numRef>
          </c:val>
          <c:smooth val="1"/>
        </c:ser>
        <c:axId val="856593509"/>
        <c:axId val="1532607784"/>
      </c:lineChart>
      <c:catAx>
        <c:axId val="856593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32607784"/>
      </c:catAx>
      <c:valAx>
        <c:axId val="1532607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5659350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152400</xdr:rowOff>
    </xdr:from>
    <xdr:ext cx="5476875" cy="3000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26" width="8.71"/>
  </cols>
  <sheetData>
    <row r="1">
      <c r="A1" s="1" t="s">
        <v>0</v>
      </c>
    </row>
    <row r="2">
      <c r="A2" s="2"/>
    </row>
    <row r="4">
      <c r="A4" s="3" t="s">
        <v>5</v>
      </c>
      <c r="B4" s="4">
        <v>5000000.0</v>
      </c>
    </row>
    <row r="5">
      <c r="A5" s="3" t="s">
        <v>7</v>
      </c>
      <c r="B5" s="7">
        <v>0.085</v>
      </c>
    </row>
    <row r="6">
      <c r="A6" s="3" t="s">
        <v>15</v>
      </c>
      <c r="B6" s="9">
        <v>20.0</v>
      </c>
    </row>
    <row r="8">
      <c r="A8" s="1" t="s">
        <v>20</v>
      </c>
    </row>
    <row r="9">
      <c r="A9" s="3" t="s">
        <v>22</v>
      </c>
      <c r="B9" s="11">
        <f>B5/12</f>
        <v>0.007083333333</v>
      </c>
    </row>
    <row r="10">
      <c r="A10" s="3" t="s">
        <v>23</v>
      </c>
      <c r="B10" s="14">
        <f>B6*12</f>
        <v>240</v>
      </c>
    </row>
    <row r="11">
      <c r="A11" s="3" t="s">
        <v>24</v>
      </c>
      <c r="B11" s="12">
        <f>IFERROR(PMT(B9,B10,-B4),0)</f>
        <v>43391.16167</v>
      </c>
    </row>
    <row r="12">
      <c r="A12" s="3" t="s">
        <v>28</v>
      </c>
      <c r="B12" s="12">
        <f>B11*B10</f>
        <v>10413878.8</v>
      </c>
    </row>
    <row r="13">
      <c r="A13" s="3" t="s">
        <v>30</v>
      </c>
      <c r="B13" s="12">
        <f>B12-B4</f>
        <v>5413878.8</v>
      </c>
    </row>
    <row r="14">
      <c r="A14" s="3" t="s">
        <v>31</v>
      </c>
      <c r="B14" s="15">
        <f>IFERROR(B13/B4,0)</f>
        <v>1.08277576</v>
      </c>
    </row>
    <row r="16">
      <c r="A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5" width="14.0"/>
    <col customWidth="1" min="6" max="6" width="18.0"/>
    <col customWidth="1" min="7" max="26" width="8.71"/>
  </cols>
  <sheetData>
    <row r="1">
      <c r="A1" s="1" t="s">
        <v>1</v>
      </c>
    </row>
    <row r="3">
      <c r="A3" s="5" t="s">
        <v>6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>
      <c r="A4" s="10">
        <f>IF(1&lt;='Loan EMI'!$B$10,1,"")</f>
        <v>1</v>
      </c>
      <c r="B4" s="13">
        <f>IF(A4="","",'Loan EMI'!$B$4)</f>
        <v>5000000</v>
      </c>
      <c r="C4" s="13">
        <f>IF(A4="","",'Loan EMI'!$B$11)</f>
        <v>43391.16167</v>
      </c>
      <c r="D4" s="13">
        <f>IF(A4="","",B4*'Loan EMI'!$B$9)</f>
        <v>35416.66667</v>
      </c>
      <c r="E4" s="13">
        <f t="shared" ref="E4:E363" si="1">IF(A4="","",C4-D4)</f>
        <v>7974.495002</v>
      </c>
      <c r="F4" s="13">
        <f t="shared" ref="F4:F363" si="2">IF(A4="","",MAX(B4-E4,0))</f>
        <v>4992025.505</v>
      </c>
    </row>
    <row r="5">
      <c r="A5" s="10">
        <f>IF(2&lt;='Loan EMI'!$B$10,2,"")</f>
        <v>2</v>
      </c>
      <c r="B5" s="13">
        <f t="shared" ref="B5:B363" si="3">IF(A5="","",F4)</f>
        <v>4992025.505</v>
      </c>
      <c r="C5" s="13">
        <f>IF(A5="","",'Loan EMI'!$B$11)</f>
        <v>43391.16167</v>
      </c>
      <c r="D5" s="13">
        <f>IF(A5="","",B5*'Loan EMI'!$B$9)</f>
        <v>35360.18066</v>
      </c>
      <c r="E5" s="13">
        <f t="shared" si="1"/>
        <v>8030.981008</v>
      </c>
      <c r="F5" s="13">
        <f t="shared" si="2"/>
        <v>4983994.524</v>
      </c>
    </row>
    <row r="6">
      <c r="A6" s="10">
        <f>IF(3&lt;='Loan EMI'!$B$10,3,"")</f>
        <v>3</v>
      </c>
      <c r="B6" s="13">
        <f t="shared" si="3"/>
        <v>4983994.524</v>
      </c>
      <c r="C6" s="13">
        <f>IF(A6="","",'Loan EMI'!$B$11)</f>
        <v>43391.16167</v>
      </c>
      <c r="D6" s="13">
        <f>IF(A6="","",B6*'Loan EMI'!$B$9)</f>
        <v>35303.29454</v>
      </c>
      <c r="E6" s="13">
        <f t="shared" si="1"/>
        <v>8087.867123</v>
      </c>
      <c r="F6" s="13">
        <f t="shared" si="2"/>
        <v>4975906.657</v>
      </c>
    </row>
    <row r="7">
      <c r="A7" s="10">
        <f>IF(4&lt;='Loan EMI'!$B$10,4,"")</f>
        <v>4</v>
      </c>
      <c r="B7" s="13">
        <f t="shared" si="3"/>
        <v>4975906.657</v>
      </c>
      <c r="C7" s="13">
        <f>IF(A7="","",'Loan EMI'!$B$11)</f>
        <v>43391.16167</v>
      </c>
      <c r="D7" s="13">
        <f>IF(A7="","",B7*'Loan EMI'!$B$9)</f>
        <v>35246.00549</v>
      </c>
      <c r="E7" s="13">
        <f t="shared" si="1"/>
        <v>8145.156182</v>
      </c>
      <c r="F7" s="13">
        <f t="shared" si="2"/>
        <v>4967761.501</v>
      </c>
    </row>
    <row r="8">
      <c r="A8" s="10">
        <f>IF(5&lt;='Loan EMI'!$B$10,5,"")</f>
        <v>5</v>
      </c>
      <c r="B8" s="13">
        <f t="shared" si="3"/>
        <v>4967761.501</v>
      </c>
      <c r="C8" s="13">
        <f>IF(A8="","",'Loan EMI'!$B$11)</f>
        <v>43391.16167</v>
      </c>
      <c r="D8" s="13">
        <f>IF(A8="","",B8*'Loan EMI'!$B$9)</f>
        <v>35188.31063</v>
      </c>
      <c r="E8" s="13">
        <f t="shared" si="1"/>
        <v>8202.851038</v>
      </c>
      <c r="F8" s="13">
        <f t="shared" si="2"/>
        <v>4959558.65</v>
      </c>
    </row>
    <row r="9">
      <c r="A9" s="10">
        <f>IF(6&lt;='Loan EMI'!$B$10,6,"")</f>
        <v>6</v>
      </c>
      <c r="B9" s="13">
        <f t="shared" si="3"/>
        <v>4959558.65</v>
      </c>
      <c r="C9" s="13">
        <f>IF(A9="","",'Loan EMI'!$B$11)</f>
        <v>43391.16167</v>
      </c>
      <c r="D9" s="13">
        <f>IF(A9="","",B9*'Loan EMI'!$B$9)</f>
        <v>35130.2071</v>
      </c>
      <c r="E9" s="13">
        <f t="shared" si="1"/>
        <v>8260.954567</v>
      </c>
      <c r="F9" s="13">
        <f t="shared" si="2"/>
        <v>4951297.695</v>
      </c>
    </row>
    <row r="10">
      <c r="A10" s="10">
        <f>IF(7&lt;='Loan EMI'!$B$10,7,"")</f>
        <v>7</v>
      </c>
      <c r="B10" s="13">
        <f t="shared" si="3"/>
        <v>4951297.695</v>
      </c>
      <c r="C10" s="13">
        <f>IF(A10="","",'Loan EMI'!$B$11)</f>
        <v>43391.16167</v>
      </c>
      <c r="D10" s="13">
        <f>IF(A10="","",B10*'Loan EMI'!$B$9)</f>
        <v>35071.69201</v>
      </c>
      <c r="E10" s="13">
        <f t="shared" si="1"/>
        <v>8319.469661</v>
      </c>
      <c r="F10" s="13">
        <f t="shared" si="2"/>
        <v>4942978.225</v>
      </c>
    </row>
    <row r="11">
      <c r="A11" s="10">
        <f>IF(8&lt;='Loan EMI'!$B$10,8,"")</f>
        <v>8</v>
      </c>
      <c r="B11" s="13">
        <f t="shared" si="3"/>
        <v>4942978.225</v>
      </c>
      <c r="C11" s="13">
        <f>IF(A11="","",'Loan EMI'!$B$11)</f>
        <v>43391.16167</v>
      </c>
      <c r="D11" s="13">
        <f>IF(A11="","",B11*'Loan EMI'!$B$9)</f>
        <v>35012.76243</v>
      </c>
      <c r="E11" s="13">
        <f t="shared" si="1"/>
        <v>8378.399238</v>
      </c>
      <c r="F11" s="13">
        <f t="shared" si="2"/>
        <v>4934599.826</v>
      </c>
    </row>
    <row r="12">
      <c r="A12" s="10">
        <f>IF(9&lt;='Loan EMI'!$B$10,9,"")</f>
        <v>9</v>
      </c>
      <c r="B12" s="13">
        <f t="shared" si="3"/>
        <v>4934599.826</v>
      </c>
      <c r="C12" s="13">
        <f>IF(A12="","",'Loan EMI'!$B$11)</f>
        <v>43391.16167</v>
      </c>
      <c r="D12" s="13">
        <f>IF(A12="","",B12*'Loan EMI'!$B$9)</f>
        <v>34953.41544</v>
      </c>
      <c r="E12" s="13">
        <f t="shared" si="1"/>
        <v>8437.746233</v>
      </c>
      <c r="F12" s="13">
        <f t="shared" si="2"/>
        <v>4926162.08</v>
      </c>
    </row>
    <row r="13">
      <c r="A13" s="10">
        <f>IF(10&lt;='Loan EMI'!$B$10,10,"")</f>
        <v>10</v>
      </c>
      <c r="B13" s="13">
        <f t="shared" si="3"/>
        <v>4926162.08</v>
      </c>
      <c r="C13" s="13">
        <f>IF(A13="","",'Loan EMI'!$B$11)</f>
        <v>43391.16167</v>
      </c>
      <c r="D13" s="13">
        <f>IF(A13="","",B13*'Loan EMI'!$B$9)</f>
        <v>34893.64807</v>
      </c>
      <c r="E13" s="13">
        <f t="shared" si="1"/>
        <v>8497.513602</v>
      </c>
      <c r="F13" s="13">
        <f t="shared" si="2"/>
        <v>4917664.566</v>
      </c>
    </row>
    <row r="14">
      <c r="A14" s="10">
        <f>IF(11&lt;='Loan EMI'!$B$10,11,"")</f>
        <v>11</v>
      </c>
      <c r="B14" s="13">
        <f t="shared" si="3"/>
        <v>4917664.566</v>
      </c>
      <c r="C14" s="13">
        <f>IF(A14="","",'Loan EMI'!$B$11)</f>
        <v>43391.16167</v>
      </c>
      <c r="D14" s="13">
        <f>IF(A14="","",B14*'Loan EMI'!$B$9)</f>
        <v>34833.45734</v>
      </c>
      <c r="E14" s="13">
        <f t="shared" si="1"/>
        <v>8557.704323</v>
      </c>
      <c r="F14" s="13">
        <f t="shared" si="2"/>
        <v>4909106.862</v>
      </c>
    </row>
    <row r="15">
      <c r="A15" s="10">
        <f>IF(12&lt;='Loan EMI'!$B$10,12,"")</f>
        <v>12</v>
      </c>
      <c r="B15" s="13">
        <f t="shared" si="3"/>
        <v>4909106.862</v>
      </c>
      <c r="C15" s="13">
        <f>IF(A15="","",'Loan EMI'!$B$11)</f>
        <v>43391.16167</v>
      </c>
      <c r="D15" s="13">
        <f>IF(A15="","",B15*'Loan EMI'!$B$9)</f>
        <v>34772.84027</v>
      </c>
      <c r="E15" s="13">
        <f t="shared" si="1"/>
        <v>8618.321396</v>
      </c>
      <c r="F15" s="13">
        <f t="shared" si="2"/>
        <v>4900488.541</v>
      </c>
    </row>
    <row r="16">
      <c r="A16" s="10">
        <f>IF(13&lt;='Loan EMI'!$B$10,13,"")</f>
        <v>13</v>
      </c>
      <c r="B16" s="13">
        <f t="shared" si="3"/>
        <v>4900488.541</v>
      </c>
      <c r="C16" s="13">
        <f>IF(A16="","",'Loan EMI'!$B$11)</f>
        <v>43391.16167</v>
      </c>
      <c r="D16" s="13">
        <f>IF(A16="","",B16*'Loan EMI'!$B$9)</f>
        <v>34711.79383</v>
      </c>
      <c r="E16" s="13">
        <f t="shared" si="1"/>
        <v>8679.367839</v>
      </c>
      <c r="F16" s="13">
        <f t="shared" si="2"/>
        <v>4891809.173</v>
      </c>
    </row>
    <row r="17">
      <c r="A17" s="10">
        <f>IF(14&lt;='Loan EMI'!$B$10,14,"")</f>
        <v>14</v>
      </c>
      <c r="B17" s="13">
        <f t="shared" si="3"/>
        <v>4891809.173</v>
      </c>
      <c r="C17" s="13">
        <f>IF(A17="","",'Loan EMI'!$B$11)</f>
        <v>43391.16167</v>
      </c>
      <c r="D17" s="13">
        <f>IF(A17="","",B17*'Loan EMI'!$B$9)</f>
        <v>34650.31497</v>
      </c>
      <c r="E17" s="13">
        <f t="shared" si="1"/>
        <v>8740.846694</v>
      </c>
      <c r="F17" s="13">
        <f t="shared" si="2"/>
        <v>4883068.326</v>
      </c>
    </row>
    <row r="18">
      <c r="A18" s="10">
        <f>IF(15&lt;='Loan EMI'!$B$10,15,"")</f>
        <v>15</v>
      </c>
      <c r="B18" s="13">
        <f t="shared" si="3"/>
        <v>4883068.326</v>
      </c>
      <c r="C18" s="13">
        <f>IF(A18="","",'Loan EMI'!$B$11)</f>
        <v>43391.16167</v>
      </c>
      <c r="D18" s="13">
        <f>IF(A18="","",B18*'Loan EMI'!$B$9)</f>
        <v>34588.40064</v>
      </c>
      <c r="E18" s="13">
        <f t="shared" si="1"/>
        <v>8802.761025</v>
      </c>
      <c r="F18" s="13">
        <f t="shared" si="2"/>
        <v>4874265.565</v>
      </c>
    </row>
    <row r="19">
      <c r="A19" s="10">
        <f>IF(16&lt;='Loan EMI'!$B$10,16,"")</f>
        <v>16</v>
      </c>
      <c r="B19" s="13">
        <f t="shared" si="3"/>
        <v>4874265.565</v>
      </c>
      <c r="C19" s="13">
        <f>IF(A19="","",'Loan EMI'!$B$11)</f>
        <v>43391.16167</v>
      </c>
      <c r="D19" s="13">
        <f>IF(A19="","",B19*'Loan EMI'!$B$9)</f>
        <v>34526.04775</v>
      </c>
      <c r="E19" s="13">
        <f t="shared" si="1"/>
        <v>8865.113916</v>
      </c>
      <c r="F19" s="13">
        <f t="shared" si="2"/>
        <v>4865400.451</v>
      </c>
    </row>
    <row r="20">
      <c r="A20" s="10">
        <f>IF(17&lt;='Loan EMI'!$B$10,17,"")</f>
        <v>17</v>
      </c>
      <c r="B20" s="13">
        <f t="shared" si="3"/>
        <v>4865400.451</v>
      </c>
      <c r="C20" s="13">
        <f>IF(A20="","",'Loan EMI'!$B$11)</f>
        <v>43391.16167</v>
      </c>
      <c r="D20" s="13">
        <f>IF(A20="","",B20*'Loan EMI'!$B$9)</f>
        <v>34463.2532</v>
      </c>
      <c r="E20" s="13">
        <f t="shared" si="1"/>
        <v>8927.908473</v>
      </c>
      <c r="F20" s="13">
        <f t="shared" si="2"/>
        <v>4856472.543</v>
      </c>
    </row>
    <row r="21" ht="15.75" customHeight="1">
      <c r="A21" s="10">
        <f>IF(18&lt;='Loan EMI'!$B$10,18,"")</f>
        <v>18</v>
      </c>
      <c r="B21" s="13">
        <f t="shared" si="3"/>
        <v>4856472.543</v>
      </c>
      <c r="C21" s="13">
        <f>IF(A21="","",'Loan EMI'!$B$11)</f>
        <v>43391.16167</v>
      </c>
      <c r="D21" s="13">
        <f>IF(A21="","",B21*'Loan EMI'!$B$9)</f>
        <v>34400.01384</v>
      </c>
      <c r="E21" s="13">
        <f t="shared" si="1"/>
        <v>8991.147824</v>
      </c>
      <c r="F21" s="13">
        <f t="shared" si="2"/>
        <v>4847481.395</v>
      </c>
    </row>
    <row r="22" ht="15.75" customHeight="1">
      <c r="A22" s="10">
        <f>IF(19&lt;='Loan EMI'!$B$10,19,"")</f>
        <v>19</v>
      </c>
      <c r="B22" s="13">
        <f t="shared" si="3"/>
        <v>4847481.395</v>
      </c>
      <c r="C22" s="13">
        <f>IF(A22="","",'Loan EMI'!$B$11)</f>
        <v>43391.16167</v>
      </c>
      <c r="D22" s="13">
        <f>IF(A22="","",B22*'Loan EMI'!$B$9)</f>
        <v>34336.32655</v>
      </c>
      <c r="E22" s="13">
        <f t="shared" si="1"/>
        <v>9054.835121</v>
      </c>
      <c r="F22" s="13">
        <f t="shared" si="2"/>
        <v>4838426.56</v>
      </c>
    </row>
    <row r="23" ht="15.75" customHeight="1">
      <c r="A23" s="10">
        <f>IF(20&lt;='Loan EMI'!$B$10,20,"")</f>
        <v>20</v>
      </c>
      <c r="B23" s="13">
        <f t="shared" si="3"/>
        <v>4838426.56</v>
      </c>
      <c r="C23" s="13">
        <f>IF(A23="","",'Loan EMI'!$B$11)</f>
        <v>43391.16167</v>
      </c>
      <c r="D23" s="13">
        <f>IF(A23="","",B23*'Loan EMI'!$B$9)</f>
        <v>34272.18813</v>
      </c>
      <c r="E23" s="13">
        <f t="shared" si="1"/>
        <v>9118.973537</v>
      </c>
      <c r="F23" s="13">
        <f t="shared" si="2"/>
        <v>4829307.586</v>
      </c>
    </row>
    <row r="24" ht="15.75" customHeight="1">
      <c r="A24" s="10">
        <f>IF(21&lt;='Loan EMI'!$B$10,21,"")</f>
        <v>21</v>
      </c>
      <c r="B24" s="13">
        <f t="shared" si="3"/>
        <v>4829307.586</v>
      </c>
      <c r="C24" s="13">
        <f>IF(A24="","",'Loan EMI'!$B$11)</f>
        <v>43391.16167</v>
      </c>
      <c r="D24" s="13">
        <f>IF(A24="","",B24*'Loan EMI'!$B$9)</f>
        <v>34207.5954</v>
      </c>
      <c r="E24" s="13">
        <f t="shared" si="1"/>
        <v>9183.566266</v>
      </c>
      <c r="F24" s="13">
        <f t="shared" si="2"/>
        <v>4820124.02</v>
      </c>
    </row>
    <row r="25" ht="15.75" customHeight="1">
      <c r="A25" s="10">
        <f>IF(22&lt;='Loan EMI'!$B$10,22,"")</f>
        <v>22</v>
      </c>
      <c r="B25" s="13">
        <f t="shared" si="3"/>
        <v>4820124.02</v>
      </c>
      <c r="C25" s="13">
        <f>IF(A25="","",'Loan EMI'!$B$11)</f>
        <v>43391.16167</v>
      </c>
      <c r="D25" s="13">
        <f>IF(A25="","",B25*'Loan EMI'!$B$9)</f>
        <v>34142.54514</v>
      </c>
      <c r="E25" s="13">
        <f t="shared" si="1"/>
        <v>9248.616527</v>
      </c>
      <c r="F25" s="13">
        <f t="shared" si="2"/>
        <v>4810875.403</v>
      </c>
    </row>
    <row r="26" ht="15.75" customHeight="1">
      <c r="A26" s="10">
        <f>IF(23&lt;='Loan EMI'!$B$10,23,"")</f>
        <v>23</v>
      </c>
      <c r="B26" s="13">
        <f t="shared" si="3"/>
        <v>4810875.403</v>
      </c>
      <c r="C26" s="13">
        <f>IF(A26="","",'Loan EMI'!$B$11)</f>
        <v>43391.16167</v>
      </c>
      <c r="D26" s="13">
        <f>IF(A26="","",B26*'Loan EMI'!$B$9)</f>
        <v>34077.03411</v>
      </c>
      <c r="E26" s="13">
        <f t="shared" si="1"/>
        <v>9314.127561</v>
      </c>
      <c r="F26" s="13">
        <f t="shared" si="2"/>
        <v>4801561.276</v>
      </c>
    </row>
    <row r="27" ht="15.75" customHeight="1">
      <c r="A27" s="10">
        <f>IF(24&lt;='Loan EMI'!$B$10,24,"")</f>
        <v>24</v>
      </c>
      <c r="B27" s="13">
        <f t="shared" si="3"/>
        <v>4801561.276</v>
      </c>
      <c r="C27" s="13">
        <f>IF(A27="","",'Loan EMI'!$B$11)</f>
        <v>43391.16167</v>
      </c>
      <c r="D27" s="13">
        <f>IF(A27="","",B27*'Loan EMI'!$B$9)</f>
        <v>34011.05904</v>
      </c>
      <c r="E27" s="13">
        <f t="shared" si="1"/>
        <v>9380.102631</v>
      </c>
      <c r="F27" s="13">
        <f t="shared" si="2"/>
        <v>4792181.173</v>
      </c>
    </row>
    <row r="28" ht="15.75" customHeight="1">
      <c r="A28" s="10">
        <f>IF(25&lt;='Loan EMI'!$B$10,25,"")</f>
        <v>25</v>
      </c>
      <c r="B28" s="13">
        <f t="shared" si="3"/>
        <v>4792181.173</v>
      </c>
      <c r="C28" s="13">
        <f>IF(A28="","",'Loan EMI'!$B$11)</f>
        <v>43391.16167</v>
      </c>
      <c r="D28" s="13">
        <f>IF(A28="","",B28*'Loan EMI'!$B$9)</f>
        <v>33944.61664</v>
      </c>
      <c r="E28" s="13">
        <f t="shared" si="1"/>
        <v>9446.545025</v>
      </c>
      <c r="F28" s="13">
        <f t="shared" si="2"/>
        <v>4782734.628</v>
      </c>
    </row>
    <row r="29" ht="15.75" customHeight="1">
      <c r="A29" s="10">
        <f>IF(26&lt;='Loan EMI'!$B$10,26,"")</f>
        <v>26</v>
      </c>
      <c r="B29" s="13">
        <f t="shared" si="3"/>
        <v>4782734.628</v>
      </c>
      <c r="C29" s="13">
        <f>IF(A29="","",'Loan EMI'!$B$11)</f>
        <v>43391.16167</v>
      </c>
      <c r="D29" s="13">
        <f>IF(A29="","",B29*'Loan EMI'!$B$9)</f>
        <v>33877.70362</v>
      </c>
      <c r="E29" s="13">
        <f t="shared" si="1"/>
        <v>9513.458052</v>
      </c>
      <c r="F29" s="13">
        <f t="shared" si="2"/>
        <v>4773221.17</v>
      </c>
    </row>
    <row r="30" ht="15.75" customHeight="1">
      <c r="A30" s="10">
        <f>IF(27&lt;='Loan EMI'!$B$10,27,"")</f>
        <v>27</v>
      </c>
      <c r="B30" s="13">
        <f t="shared" si="3"/>
        <v>4773221.17</v>
      </c>
      <c r="C30" s="13">
        <f>IF(A30="","",'Loan EMI'!$B$11)</f>
        <v>43391.16167</v>
      </c>
      <c r="D30" s="13">
        <f>IF(A30="","",B30*'Loan EMI'!$B$9)</f>
        <v>33810.31662</v>
      </c>
      <c r="E30" s="13">
        <f t="shared" si="1"/>
        <v>9580.845046</v>
      </c>
      <c r="F30" s="13">
        <f t="shared" si="2"/>
        <v>4763640.325</v>
      </c>
    </row>
    <row r="31" ht="15.75" customHeight="1">
      <c r="A31" s="10">
        <f>IF(28&lt;='Loan EMI'!$B$10,28,"")</f>
        <v>28</v>
      </c>
      <c r="B31" s="13">
        <f t="shared" si="3"/>
        <v>4763640.325</v>
      </c>
      <c r="C31" s="13">
        <f>IF(A31="","",'Loan EMI'!$B$11)</f>
        <v>43391.16167</v>
      </c>
      <c r="D31" s="13">
        <f>IF(A31="","",B31*'Loan EMI'!$B$9)</f>
        <v>33742.4523</v>
      </c>
      <c r="E31" s="13">
        <f t="shared" si="1"/>
        <v>9648.709366</v>
      </c>
      <c r="F31" s="13">
        <f t="shared" si="2"/>
        <v>4753991.616</v>
      </c>
    </row>
    <row r="32" ht="15.75" customHeight="1">
      <c r="A32" s="10">
        <f>IF(29&lt;='Loan EMI'!$B$10,29,"")</f>
        <v>29</v>
      </c>
      <c r="B32" s="13">
        <f t="shared" si="3"/>
        <v>4753991.616</v>
      </c>
      <c r="C32" s="13">
        <f>IF(A32="","",'Loan EMI'!$B$11)</f>
        <v>43391.16167</v>
      </c>
      <c r="D32" s="13">
        <f>IF(A32="","",B32*'Loan EMI'!$B$9)</f>
        <v>33674.10728</v>
      </c>
      <c r="E32" s="13">
        <f t="shared" si="1"/>
        <v>9717.05439</v>
      </c>
      <c r="F32" s="13">
        <f t="shared" si="2"/>
        <v>4744274.561</v>
      </c>
    </row>
    <row r="33" ht="15.75" customHeight="1">
      <c r="A33" s="10">
        <f>IF(30&lt;='Loan EMI'!$B$10,30,"")</f>
        <v>30</v>
      </c>
      <c r="B33" s="13">
        <f t="shared" si="3"/>
        <v>4744274.561</v>
      </c>
      <c r="C33" s="13">
        <f>IF(A33="","",'Loan EMI'!$B$11)</f>
        <v>43391.16167</v>
      </c>
      <c r="D33" s="13">
        <f>IF(A33="","",B33*'Loan EMI'!$B$9)</f>
        <v>33605.27814</v>
      </c>
      <c r="E33" s="13">
        <f t="shared" si="1"/>
        <v>9785.883525</v>
      </c>
      <c r="F33" s="13">
        <f t="shared" si="2"/>
        <v>4734488.678</v>
      </c>
    </row>
    <row r="34" ht="15.75" customHeight="1">
      <c r="A34" s="10">
        <f>IF(31&lt;='Loan EMI'!$B$10,31,"")</f>
        <v>31</v>
      </c>
      <c r="B34" s="13">
        <f t="shared" si="3"/>
        <v>4734488.678</v>
      </c>
      <c r="C34" s="13">
        <f>IF(A34="","",'Loan EMI'!$B$11)</f>
        <v>43391.16167</v>
      </c>
      <c r="D34" s="13">
        <f>IF(A34="","",B34*'Loan EMI'!$B$9)</f>
        <v>33535.96147</v>
      </c>
      <c r="E34" s="13">
        <f t="shared" si="1"/>
        <v>9855.2002</v>
      </c>
      <c r="F34" s="13">
        <f t="shared" si="2"/>
        <v>4724633.478</v>
      </c>
    </row>
    <row r="35" ht="15.75" customHeight="1">
      <c r="A35" s="10">
        <f>IF(32&lt;='Loan EMI'!$B$10,32,"")</f>
        <v>32</v>
      </c>
      <c r="B35" s="13">
        <f t="shared" si="3"/>
        <v>4724633.478</v>
      </c>
      <c r="C35" s="13">
        <f>IF(A35="","",'Loan EMI'!$B$11)</f>
        <v>43391.16167</v>
      </c>
      <c r="D35" s="13">
        <f>IF(A35="","",B35*'Loan EMI'!$B$9)</f>
        <v>33466.1538</v>
      </c>
      <c r="E35" s="13">
        <f t="shared" si="1"/>
        <v>9925.007869</v>
      </c>
      <c r="F35" s="13">
        <f t="shared" si="2"/>
        <v>4714708.47</v>
      </c>
    </row>
    <row r="36" ht="15.75" customHeight="1">
      <c r="A36" s="10">
        <f>IF(33&lt;='Loan EMI'!$B$10,33,"")</f>
        <v>33</v>
      </c>
      <c r="B36" s="13">
        <f t="shared" si="3"/>
        <v>4714708.47</v>
      </c>
      <c r="C36" s="13">
        <f>IF(A36="","",'Loan EMI'!$B$11)</f>
        <v>43391.16167</v>
      </c>
      <c r="D36" s="13">
        <f>IF(A36="","",B36*'Loan EMI'!$B$9)</f>
        <v>33395.85166</v>
      </c>
      <c r="E36" s="13">
        <f t="shared" si="1"/>
        <v>9995.310008</v>
      </c>
      <c r="F36" s="13">
        <f t="shared" si="2"/>
        <v>4704713.16</v>
      </c>
    </row>
    <row r="37" ht="15.75" customHeight="1">
      <c r="A37" s="10">
        <f>IF(34&lt;='Loan EMI'!$B$10,34,"")</f>
        <v>34</v>
      </c>
      <c r="B37" s="13">
        <f t="shared" si="3"/>
        <v>4704713.16</v>
      </c>
      <c r="C37" s="13">
        <f>IF(A37="","",'Loan EMI'!$B$11)</f>
        <v>43391.16167</v>
      </c>
      <c r="D37" s="13">
        <f>IF(A37="","",B37*'Loan EMI'!$B$9)</f>
        <v>33325.05155</v>
      </c>
      <c r="E37" s="13">
        <f t="shared" si="1"/>
        <v>10066.11012</v>
      </c>
      <c r="F37" s="13">
        <f t="shared" si="2"/>
        <v>4694647.05</v>
      </c>
    </row>
    <row r="38" ht="15.75" customHeight="1">
      <c r="A38" s="10">
        <f>IF(35&lt;='Loan EMI'!$B$10,35,"")</f>
        <v>35</v>
      </c>
      <c r="B38" s="13">
        <f t="shared" si="3"/>
        <v>4694647.05</v>
      </c>
      <c r="C38" s="13">
        <f>IF(A38="","",'Loan EMI'!$B$11)</f>
        <v>43391.16167</v>
      </c>
      <c r="D38" s="13">
        <f>IF(A38="","",B38*'Loan EMI'!$B$9)</f>
        <v>33253.74993</v>
      </c>
      <c r="E38" s="13">
        <f t="shared" si="1"/>
        <v>10137.41173</v>
      </c>
      <c r="F38" s="13">
        <f t="shared" si="2"/>
        <v>4684509.638</v>
      </c>
    </row>
    <row r="39" ht="15.75" customHeight="1">
      <c r="A39" s="10">
        <f>IF(36&lt;='Loan EMI'!$B$10,36,"")</f>
        <v>36</v>
      </c>
      <c r="B39" s="13">
        <f t="shared" si="3"/>
        <v>4684509.638</v>
      </c>
      <c r="C39" s="13">
        <f>IF(A39="","",'Loan EMI'!$B$11)</f>
        <v>43391.16167</v>
      </c>
      <c r="D39" s="13">
        <f>IF(A39="","",B39*'Loan EMI'!$B$9)</f>
        <v>33181.94327</v>
      </c>
      <c r="E39" s="13">
        <f t="shared" si="1"/>
        <v>10209.2184</v>
      </c>
      <c r="F39" s="13">
        <f t="shared" si="2"/>
        <v>4674300.419</v>
      </c>
    </row>
    <row r="40" ht="15.75" customHeight="1">
      <c r="A40" s="10">
        <f>IF(37&lt;='Loan EMI'!$B$10,37,"")</f>
        <v>37</v>
      </c>
      <c r="B40" s="13">
        <f t="shared" si="3"/>
        <v>4674300.419</v>
      </c>
      <c r="C40" s="13">
        <f>IF(A40="","",'Loan EMI'!$B$11)</f>
        <v>43391.16167</v>
      </c>
      <c r="D40" s="13">
        <f>IF(A40="","",B40*'Loan EMI'!$B$9)</f>
        <v>33109.62797</v>
      </c>
      <c r="E40" s="13">
        <f t="shared" si="1"/>
        <v>10281.5337</v>
      </c>
      <c r="F40" s="13">
        <f t="shared" si="2"/>
        <v>4664018.886</v>
      </c>
    </row>
    <row r="41" ht="15.75" customHeight="1">
      <c r="A41" s="10">
        <f>IF(38&lt;='Loan EMI'!$B$10,38,"")</f>
        <v>38</v>
      </c>
      <c r="B41" s="13">
        <f t="shared" si="3"/>
        <v>4664018.886</v>
      </c>
      <c r="C41" s="13">
        <f>IF(A41="","",'Loan EMI'!$B$11)</f>
        <v>43391.16167</v>
      </c>
      <c r="D41" s="13">
        <f>IF(A41="","",B41*'Loan EMI'!$B$9)</f>
        <v>33036.80044</v>
      </c>
      <c r="E41" s="13">
        <f t="shared" si="1"/>
        <v>10354.36123</v>
      </c>
      <c r="F41" s="13">
        <f t="shared" si="2"/>
        <v>4653664.525</v>
      </c>
    </row>
    <row r="42" ht="15.75" customHeight="1">
      <c r="A42" s="10">
        <f>IF(39&lt;='Loan EMI'!$B$10,39,"")</f>
        <v>39</v>
      </c>
      <c r="B42" s="13">
        <f t="shared" si="3"/>
        <v>4653664.525</v>
      </c>
      <c r="C42" s="13">
        <f>IF(A42="","",'Loan EMI'!$B$11)</f>
        <v>43391.16167</v>
      </c>
      <c r="D42" s="13">
        <f>IF(A42="","",B42*'Loan EMI'!$B$9)</f>
        <v>32963.45705</v>
      </c>
      <c r="E42" s="13">
        <f t="shared" si="1"/>
        <v>10427.70462</v>
      </c>
      <c r="F42" s="13">
        <f t="shared" si="2"/>
        <v>4643236.82</v>
      </c>
    </row>
    <row r="43" ht="15.75" customHeight="1">
      <c r="A43" s="10">
        <f>IF(40&lt;='Loan EMI'!$B$10,40,"")</f>
        <v>40</v>
      </c>
      <c r="B43" s="13">
        <f t="shared" si="3"/>
        <v>4643236.82</v>
      </c>
      <c r="C43" s="13">
        <f>IF(A43="","",'Loan EMI'!$B$11)</f>
        <v>43391.16167</v>
      </c>
      <c r="D43" s="13">
        <f>IF(A43="","",B43*'Loan EMI'!$B$9)</f>
        <v>32889.59414</v>
      </c>
      <c r="E43" s="13">
        <f t="shared" si="1"/>
        <v>10501.56753</v>
      </c>
      <c r="F43" s="13">
        <f t="shared" si="2"/>
        <v>4632735.252</v>
      </c>
    </row>
    <row r="44" ht="15.75" customHeight="1">
      <c r="A44" s="10">
        <f>IF(41&lt;='Loan EMI'!$B$10,41,"")</f>
        <v>41</v>
      </c>
      <c r="B44" s="13">
        <f t="shared" si="3"/>
        <v>4632735.252</v>
      </c>
      <c r="C44" s="13">
        <f>IF(A44="","",'Loan EMI'!$B$11)</f>
        <v>43391.16167</v>
      </c>
      <c r="D44" s="13">
        <f>IF(A44="","",B44*'Loan EMI'!$B$9)</f>
        <v>32815.20804</v>
      </c>
      <c r="E44" s="13">
        <f t="shared" si="1"/>
        <v>10575.95363</v>
      </c>
      <c r="F44" s="13">
        <f t="shared" si="2"/>
        <v>4622159.299</v>
      </c>
    </row>
    <row r="45" ht="15.75" customHeight="1">
      <c r="A45" s="10">
        <f>IF(42&lt;='Loan EMI'!$B$10,42,"")</f>
        <v>42</v>
      </c>
      <c r="B45" s="13">
        <f t="shared" si="3"/>
        <v>4622159.299</v>
      </c>
      <c r="C45" s="13">
        <f>IF(A45="","",'Loan EMI'!$B$11)</f>
        <v>43391.16167</v>
      </c>
      <c r="D45" s="13">
        <f>IF(A45="","",B45*'Loan EMI'!$B$9)</f>
        <v>32740.29503</v>
      </c>
      <c r="E45" s="13">
        <f t="shared" si="1"/>
        <v>10650.86664</v>
      </c>
      <c r="F45" s="13">
        <f t="shared" si="2"/>
        <v>4611508.432</v>
      </c>
    </row>
    <row r="46" ht="15.75" customHeight="1">
      <c r="A46" s="10">
        <f>IF(43&lt;='Loan EMI'!$B$10,43,"")</f>
        <v>43</v>
      </c>
      <c r="B46" s="13">
        <f t="shared" si="3"/>
        <v>4611508.432</v>
      </c>
      <c r="C46" s="13">
        <f>IF(A46="","",'Loan EMI'!$B$11)</f>
        <v>43391.16167</v>
      </c>
      <c r="D46" s="13">
        <f>IF(A46="","",B46*'Loan EMI'!$B$9)</f>
        <v>32664.85139</v>
      </c>
      <c r="E46" s="13">
        <f t="shared" si="1"/>
        <v>10726.31027</v>
      </c>
      <c r="F46" s="13">
        <f t="shared" si="2"/>
        <v>4600782.122</v>
      </c>
    </row>
    <row r="47" ht="15.75" customHeight="1">
      <c r="A47" s="10">
        <f>IF(44&lt;='Loan EMI'!$B$10,44,"")</f>
        <v>44</v>
      </c>
      <c r="B47" s="13">
        <f t="shared" si="3"/>
        <v>4600782.122</v>
      </c>
      <c r="C47" s="13">
        <f>IF(A47="","",'Loan EMI'!$B$11)</f>
        <v>43391.16167</v>
      </c>
      <c r="D47" s="13">
        <f>IF(A47="","",B47*'Loan EMI'!$B$9)</f>
        <v>32588.87336</v>
      </c>
      <c r="E47" s="13">
        <f t="shared" si="1"/>
        <v>10802.28831</v>
      </c>
      <c r="F47" s="13">
        <f t="shared" si="2"/>
        <v>4589979.834</v>
      </c>
    </row>
    <row r="48" ht="15.75" customHeight="1">
      <c r="A48" s="10">
        <f>IF(45&lt;='Loan EMI'!$B$10,45,"")</f>
        <v>45</v>
      </c>
      <c r="B48" s="13">
        <f t="shared" si="3"/>
        <v>4589979.834</v>
      </c>
      <c r="C48" s="13">
        <f>IF(A48="","",'Loan EMI'!$B$11)</f>
        <v>43391.16167</v>
      </c>
      <c r="D48" s="13">
        <f>IF(A48="","",B48*'Loan EMI'!$B$9)</f>
        <v>32512.35715</v>
      </c>
      <c r="E48" s="13">
        <f t="shared" si="1"/>
        <v>10878.80451</v>
      </c>
      <c r="F48" s="13">
        <f t="shared" si="2"/>
        <v>4579101.029</v>
      </c>
    </row>
    <row r="49" ht="15.75" customHeight="1">
      <c r="A49" s="10">
        <f>IF(46&lt;='Loan EMI'!$B$10,46,"")</f>
        <v>46</v>
      </c>
      <c r="B49" s="13">
        <f t="shared" si="3"/>
        <v>4579101.029</v>
      </c>
      <c r="C49" s="13">
        <f>IF(A49="","",'Loan EMI'!$B$11)</f>
        <v>43391.16167</v>
      </c>
      <c r="D49" s="13">
        <f>IF(A49="","",B49*'Loan EMI'!$B$9)</f>
        <v>32435.29896</v>
      </c>
      <c r="E49" s="13">
        <f t="shared" si="1"/>
        <v>10955.86271</v>
      </c>
      <c r="F49" s="13">
        <f t="shared" si="2"/>
        <v>4568145.166</v>
      </c>
    </row>
    <row r="50" ht="15.75" customHeight="1">
      <c r="A50" s="10">
        <f>IF(47&lt;='Loan EMI'!$B$10,47,"")</f>
        <v>47</v>
      </c>
      <c r="B50" s="13">
        <f t="shared" si="3"/>
        <v>4568145.166</v>
      </c>
      <c r="C50" s="13">
        <f>IF(A50="","",'Loan EMI'!$B$11)</f>
        <v>43391.16167</v>
      </c>
      <c r="D50" s="13">
        <f>IF(A50="","",B50*'Loan EMI'!$B$9)</f>
        <v>32357.69493</v>
      </c>
      <c r="E50" s="13">
        <f t="shared" si="1"/>
        <v>11033.46674</v>
      </c>
      <c r="F50" s="13">
        <f t="shared" si="2"/>
        <v>4557111.7</v>
      </c>
    </row>
    <row r="51" ht="15.75" customHeight="1">
      <c r="A51" s="10">
        <f>IF(48&lt;='Loan EMI'!$B$10,48,"")</f>
        <v>48</v>
      </c>
      <c r="B51" s="13">
        <f t="shared" si="3"/>
        <v>4557111.7</v>
      </c>
      <c r="C51" s="13">
        <f>IF(A51="","",'Loan EMI'!$B$11)</f>
        <v>43391.16167</v>
      </c>
      <c r="D51" s="13">
        <f>IF(A51="","",B51*'Loan EMI'!$B$9)</f>
        <v>32279.54121</v>
      </c>
      <c r="E51" s="13">
        <f t="shared" si="1"/>
        <v>11111.62046</v>
      </c>
      <c r="F51" s="13">
        <f t="shared" si="2"/>
        <v>4546000.079</v>
      </c>
    </row>
    <row r="52" ht="15.75" customHeight="1">
      <c r="A52" s="10">
        <f>IF(49&lt;='Loan EMI'!$B$10,49,"")</f>
        <v>49</v>
      </c>
      <c r="B52" s="13">
        <f t="shared" si="3"/>
        <v>4546000.079</v>
      </c>
      <c r="C52" s="13">
        <f>IF(A52="","",'Loan EMI'!$B$11)</f>
        <v>43391.16167</v>
      </c>
      <c r="D52" s="13">
        <f>IF(A52="","",B52*'Loan EMI'!$B$9)</f>
        <v>32200.83389</v>
      </c>
      <c r="E52" s="13">
        <f t="shared" si="1"/>
        <v>11190.32777</v>
      </c>
      <c r="F52" s="13">
        <f t="shared" si="2"/>
        <v>4534809.751</v>
      </c>
    </row>
    <row r="53" ht="15.75" customHeight="1">
      <c r="A53" s="10">
        <f>IF(50&lt;='Loan EMI'!$B$10,50,"")</f>
        <v>50</v>
      </c>
      <c r="B53" s="13">
        <f t="shared" si="3"/>
        <v>4534809.751</v>
      </c>
      <c r="C53" s="13">
        <f>IF(A53="","",'Loan EMI'!$B$11)</f>
        <v>43391.16167</v>
      </c>
      <c r="D53" s="13">
        <f>IF(A53="","",B53*'Loan EMI'!$B$9)</f>
        <v>32121.56907</v>
      </c>
      <c r="E53" s="13">
        <f t="shared" si="1"/>
        <v>11269.5926</v>
      </c>
      <c r="F53" s="13">
        <f t="shared" si="2"/>
        <v>4523540.159</v>
      </c>
    </row>
    <row r="54" ht="15.75" customHeight="1">
      <c r="A54" s="10">
        <f>IF(51&lt;='Loan EMI'!$B$10,51,"")</f>
        <v>51</v>
      </c>
      <c r="B54" s="13">
        <f t="shared" si="3"/>
        <v>4523540.159</v>
      </c>
      <c r="C54" s="13">
        <f>IF(A54="","",'Loan EMI'!$B$11)</f>
        <v>43391.16167</v>
      </c>
      <c r="D54" s="13">
        <f>IF(A54="","",B54*'Loan EMI'!$B$9)</f>
        <v>32041.74279</v>
      </c>
      <c r="E54" s="13">
        <f t="shared" si="1"/>
        <v>11349.41888</v>
      </c>
      <c r="F54" s="13">
        <f t="shared" si="2"/>
        <v>4512190.74</v>
      </c>
    </row>
    <row r="55" ht="15.75" customHeight="1">
      <c r="A55" s="10">
        <f>IF(52&lt;='Loan EMI'!$B$10,52,"")</f>
        <v>52</v>
      </c>
      <c r="B55" s="13">
        <f t="shared" si="3"/>
        <v>4512190.74</v>
      </c>
      <c r="C55" s="13">
        <f>IF(A55="","",'Loan EMI'!$B$11)</f>
        <v>43391.16167</v>
      </c>
      <c r="D55" s="13">
        <f>IF(A55="","",B55*'Loan EMI'!$B$9)</f>
        <v>31961.35107</v>
      </c>
      <c r="E55" s="13">
        <f t="shared" si="1"/>
        <v>11429.81059</v>
      </c>
      <c r="F55" s="13">
        <f t="shared" si="2"/>
        <v>4500760.929</v>
      </c>
    </row>
    <row r="56" ht="15.75" customHeight="1">
      <c r="A56" s="10">
        <f>IF(53&lt;='Loan EMI'!$B$10,53,"")</f>
        <v>53</v>
      </c>
      <c r="B56" s="13">
        <f t="shared" si="3"/>
        <v>4500760.929</v>
      </c>
      <c r="C56" s="13">
        <f>IF(A56="","",'Loan EMI'!$B$11)</f>
        <v>43391.16167</v>
      </c>
      <c r="D56" s="13">
        <f>IF(A56="","",B56*'Loan EMI'!$B$9)</f>
        <v>31880.38992</v>
      </c>
      <c r="E56" s="13">
        <f t="shared" si="1"/>
        <v>11510.77175</v>
      </c>
      <c r="F56" s="13">
        <f t="shared" si="2"/>
        <v>4489250.158</v>
      </c>
    </row>
    <row r="57" ht="15.75" customHeight="1">
      <c r="A57" s="10">
        <f>IF(54&lt;='Loan EMI'!$B$10,54,"")</f>
        <v>54</v>
      </c>
      <c r="B57" s="13">
        <f t="shared" si="3"/>
        <v>4489250.158</v>
      </c>
      <c r="C57" s="13">
        <f>IF(A57="","",'Loan EMI'!$B$11)</f>
        <v>43391.16167</v>
      </c>
      <c r="D57" s="13">
        <f>IF(A57="","",B57*'Loan EMI'!$B$9)</f>
        <v>31798.85528</v>
      </c>
      <c r="E57" s="13">
        <f t="shared" si="1"/>
        <v>11592.30639</v>
      </c>
      <c r="F57" s="13">
        <f t="shared" si="2"/>
        <v>4477657.851</v>
      </c>
    </row>
    <row r="58" ht="15.75" customHeight="1">
      <c r="A58" s="10">
        <f>IF(55&lt;='Loan EMI'!$B$10,55,"")</f>
        <v>55</v>
      </c>
      <c r="B58" s="13">
        <f t="shared" si="3"/>
        <v>4477657.851</v>
      </c>
      <c r="C58" s="13">
        <f>IF(A58="","",'Loan EMI'!$B$11)</f>
        <v>43391.16167</v>
      </c>
      <c r="D58" s="13">
        <f>IF(A58="","",B58*'Loan EMI'!$B$9)</f>
        <v>31716.74311</v>
      </c>
      <c r="E58" s="13">
        <f t="shared" si="1"/>
        <v>11674.41856</v>
      </c>
      <c r="F58" s="13">
        <f t="shared" si="2"/>
        <v>4465983.433</v>
      </c>
    </row>
    <row r="59" ht="15.75" customHeight="1">
      <c r="A59" s="10">
        <f>IF(56&lt;='Loan EMI'!$B$10,56,"")</f>
        <v>56</v>
      </c>
      <c r="B59" s="13">
        <f t="shared" si="3"/>
        <v>4465983.433</v>
      </c>
      <c r="C59" s="13">
        <f>IF(A59="","",'Loan EMI'!$B$11)</f>
        <v>43391.16167</v>
      </c>
      <c r="D59" s="13">
        <f>IF(A59="","",B59*'Loan EMI'!$B$9)</f>
        <v>31634.04931</v>
      </c>
      <c r="E59" s="13">
        <f t="shared" si="1"/>
        <v>11757.11235</v>
      </c>
      <c r="F59" s="13">
        <f t="shared" si="2"/>
        <v>4454226.32</v>
      </c>
    </row>
    <row r="60" ht="15.75" customHeight="1">
      <c r="A60" s="10">
        <f>IF(57&lt;='Loan EMI'!$B$10,57,"")</f>
        <v>57</v>
      </c>
      <c r="B60" s="13">
        <f t="shared" si="3"/>
        <v>4454226.32</v>
      </c>
      <c r="C60" s="13">
        <f>IF(A60="","",'Loan EMI'!$B$11)</f>
        <v>43391.16167</v>
      </c>
      <c r="D60" s="13">
        <f>IF(A60="","",B60*'Loan EMI'!$B$9)</f>
        <v>31550.76977</v>
      </c>
      <c r="E60" s="13">
        <f t="shared" si="1"/>
        <v>11840.3919</v>
      </c>
      <c r="F60" s="13">
        <f t="shared" si="2"/>
        <v>4442385.928</v>
      </c>
    </row>
    <row r="61" ht="15.75" customHeight="1">
      <c r="A61" s="10">
        <f>IF(58&lt;='Loan EMI'!$B$10,58,"")</f>
        <v>58</v>
      </c>
      <c r="B61" s="13">
        <f t="shared" si="3"/>
        <v>4442385.928</v>
      </c>
      <c r="C61" s="13">
        <f>IF(A61="","",'Loan EMI'!$B$11)</f>
        <v>43391.16167</v>
      </c>
      <c r="D61" s="13">
        <f>IF(A61="","",B61*'Loan EMI'!$B$9)</f>
        <v>31466.90033</v>
      </c>
      <c r="E61" s="13">
        <f t="shared" si="1"/>
        <v>11924.26134</v>
      </c>
      <c r="F61" s="13">
        <f t="shared" si="2"/>
        <v>4430461.667</v>
      </c>
    </row>
    <row r="62" ht="15.75" customHeight="1">
      <c r="A62" s="10">
        <f>IF(59&lt;='Loan EMI'!$B$10,59,"")</f>
        <v>59</v>
      </c>
      <c r="B62" s="13">
        <f t="shared" si="3"/>
        <v>4430461.667</v>
      </c>
      <c r="C62" s="13">
        <f>IF(A62="","",'Loan EMI'!$B$11)</f>
        <v>43391.16167</v>
      </c>
      <c r="D62" s="13">
        <f>IF(A62="","",B62*'Loan EMI'!$B$9)</f>
        <v>31382.43681</v>
      </c>
      <c r="E62" s="13">
        <f t="shared" si="1"/>
        <v>12008.72486</v>
      </c>
      <c r="F62" s="13">
        <f t="shared" si="2"/>
        <v>4418452.942</v>
      </c>
    </row>
    <row r="63" ht="15.75" customHeight="1">
      <c r="A63" s="10">
        <f>IF(60&lt;='Loan EMI'!$B$10,60,"")</f>
        <v>60</v>
      </c>
      <c r="B63" s="13">
        <f t="shared" si="3"/>
        <v>4418452.942</v>
      </c>
      <c r="C63" s="13">
        <f>IF(A63="","",'Loan EMI'!$B$11)</f>
        <v>43391.16167</v>
      </c>
      <c r="D63" s="13">
        <f>IF(A63="","",B63*'Loan EMI'!$B$9)</f>
        <v>31297.37501</v>
      </c>
      <c r="E63" s="13">
        <f t="shared" si="1"/>
        <v>12093.78666</v>
      </c>
      <c r="F63" s="13">
        <f t="shared" si="2"/>
        <v>4406359.155</v>
      </c>
    </row>
    <row r="64" ht="15.75" customHeight="1">
      <c r="A64" s="10">
        <f>IF(61&lt;='Loan EMI'!$B$10,61,"")</f>
        <v>61</v>
      </c>
      <c r="B64" s="13">
        <f t="shared" si="3"/>
        <v>4406359.155</v>
      </c>
      <c r="C64" s="13">
        <f>IF(A64="","",'Loan EMI'!$B$11)</f>
        <v>43391.16167</v>
      </c>
      <c r="D64" s="13">
        <f>IF(A64="","",B64*'Loan EMI'!$B$9)</f>
        <v>31211.71068</v>
      </c>
      <c r="E64" s="13">
        <f t="shared" si="1"/>
        <v>12179.45098</v>
      </c>
      <c r="F64" s="13">
        <f t="shared" si="2"/>
        <v>4394179.704</v>
      </c>
    </row>
    <row r="65" ht="15.75" customHeight="1">
      <c r="A65" s="10">
        <f>IF(62&lt;='Loan EMI'!$B$10,62,"")</f>
        <v>62</v>
      </c>
      <c r="B65" s="13">
        <f t="shared" si="3"/>
        <v>4394179.704</v>
      </c>
      <c r="C65" s="13">
        <f>IF(A65="","",'Loan EMI'!$B$11)</f>
        <v>43391.16167</v>
      </c>
      <c r="D65" s="13">
        <f>IF(A65="","",B65*'Loan EMI'!$B$9)</f>
        <v>31125.43957</v>
      </c>
      <c r="E65" s="13">
        <f t="shared" si="1"/>
        <v>12265.72209</v>
      </c>
      <c r="F65" s="13">
        <f t="shared" si="2"/>
        <v>4381913.982</v>
      </c>
    </row>
    <row r="66" ht="15.75" customHeight="1">
      <c r="A66" s="10">
        <f>IF(63&lt;='Loan EMI'!$B$10,63,"")</f>
        <v>63</v>
      </c>
      <c r="B66" s="13">
        <f t="shared" si="3"/>
        <v>4381913.982</v>
      </c>
      <c r="C66" s="13">
        <f>IF(A66="","",'Loan EMI'!$B$11)</f>
        <v>43391.16167</v>
      </c>
      <c r="D66" s="13">
        <f>IF(A66="","",B66*'Loan EMI'!$B$9)</f>
        <v>31038.55738</v>
      </c>
      <c r="E66" s="13">
        <f t="shared" si="1"/>
        <v>12352.60429</v>
      </c>
      <c r="F66" s="13">
        <f t="shared" si="2"/>
        <v>4369561.378</v>
      </c>
    </row>
    <row r="67" ht="15.75" customHeight="1">
      <c r="A67" s="10">
        <f>IF(64&lt;='Loan EMI'!$B$10,64,"")</f>
        <v>64</v>
      </c>
      <c r="B67" s="13">
        <f t="shared" si="3"/>
        <v>4369561.378</v>
      </c>
      <c r="C67" s="13">
        <f>IF(A67="","",'Loan EMI'!$B$11)</f>
        <v>43391.16167</v>
      </c>
      <c r="D67" s="13">
        <f>IF(A67="","",B67*'Loan EMI'!$B$9)</f>
        <v>30951.05976</v>
      </c>
      <c r="E67" s="13">
        <f t="shared" si="1"/>
        <v>12440.10191</v>
      </c>
      <c r="F67" s="13">
        <f t="shared" si="2"/>
        <v>4357121.276</v>
      </c>
    </row>
    <row r="68" ht="15.75" customHeight="1">
      <c r="A68" s="10">
        <f>IF(65&lt;='Loan EMI'!$B$10,65,"")</f>
        <v>65</v>
      </c>
      <c r="B68" s="13">
        <f t="shared" si="3"/>
        <v>4357121.276</v>
      </c>
      <c r="C68" s="13">
        <f>IF(A68="","",'Loan EMI'!$B$11)</f>
        <v>43391.16167</v>
      </c>
      <c r="D68" s="13">
        <f>IF(A68="","",B68*'Loan EMI'!$B$9)</f>
        <v>30862.94237</v>
      </c>
      <c r="E68" s="13">
        <f t="shared" si="1"/>
        <v>12528.2193</v>
      </c>
      <c r="F68" s="13">
        <f t="shared" si="2"/>
        <v>4344593.057</v>
      </c>
    </row>
    <row r="69" ht="15.75" customHeight="1">
      <c r="A69" s="10">
        <f>IF(66&lt;='Loan EMI'!$B$10,66,"")</f>
        <v>66</v>
      </c>
      <c r="B69" s="13">
        <f t="shared" si="3"/>
        <v>4344593.057</v>
      </c>
      <c r="C69" s="13">
        <f>IF(A69="","",'Loan EMI'!$B$11)</f>
        <v>43391.16167</v>
      </c>
      <c r="D69" s="13">
        <f>IF(A69="","",B69*'Loan EMI'!$B$9)</f>
        <v>30774.20082</v>
      </c>
      <c r="E69" s="13">
        <f t="shared" si="1"/>
        <v>12616.96085</v>
      </c>
      <c r="F69" s="13">
        <f t="shared" si="2"/>
        <v>4331976.096</v>
      </c>
    </row>
    <row r="70" ht="15.75" customHeight="1">
      <c r="A70" s="10">
        <f>IF(67&lt;='Loan EMI'!$B$10,67,"")</f>
        <v>67</v>
      </c>
      <c r="B70" s="13">
        <f t="shared" si="3"/>
        <v>4331976.096</v>
      </c>
      <c r="C70" s="13">
        <f>IF(A70="","",'Loan EMI'!$B$11)</f>
        <v>43391.16167</v>
      </c>
      <c r="D70" s="13">
        <f>IF(A70="","",B70*'Loan EMI'!$B$9)</f>
        <v>30684.83068</v>
      </c>
      <c r="E70" s="13">
        <f t="shared" si="1"/>
        <v>12706.33099</v>
      </c>
      <c r="F70" s="13">
        <f t="shared" si="2"/>
        <v>4319269.765</v>
      </c>
    </row>
    <row r="71" ht="15.75" customHeight="1">
      <c r="A71" s="10">
        <f>IF(68&lt;='Loan EMI'!$B$10,68,"")</f>
        <v>68</v>
      </c>
      <c r="B71" s="13">
        <f t="shared" si="3"/>
        <v>4319269.765</v>
      </c>
      <c r="C71" s="13">
        <f>IF(A71="","",'Loan EMI'!$B$11)</f>
        <v>43391.16167</v>
      </c>
      <c r="D71" s="13">
        <f>IF(A71="","",B71*'Loan EMI'!$B$9)</f>
        <v>30594.8275</v>
      </c>
      <c r="E71" s="13">
        <f t="shared" si="1"/>
        <v>12796.33417</v>
      </c>
      <c r="F71" s="13">
        <f t="shared" si="2"/>
        <v>4306473.431</v>
      </c>
    </row>
    <row r="72" ht="15.75" customHeight="1">
      <c r="A72" s="10">
        <f>IF(69&lt;='Loan EMI'!$B$10,69,"")</f>
        <v>69</v>
      </c>
      <c r="B72" s="13">
        <f t="shared" si="3"/>
        <v>4306473.431</v>
      </c>
      <c r="C72" s="13">
        <f>IF(A72="","",'Loan EMI'!$B$11)</f>
        <v>43391.16167</v>
      </c>
      <c r="D72" s="13">
        <f>IF(A72="","",B72*'Loan EMI'!$B$9)</f>
        <v>30504.1868</v>
      </c>
      <c r="E72" s="13">
        <f t="shared" si="1"/>
        <v>12886.97487</v>
      </c>
      <c r="F72" s="13">
        <f t="shared" si="2"/>
        <v>4293586.456</v>
      </c>
    </row>
    <row r="73" ht="15.75" customHeight="1">
      <c r="A73" s="10">
        <f>IF(70&lt;='Loan EMI'!$B$10,70,"")</f>
        <v>70</v>
      </c>
      <c r="B73" s="13">
        <f t="shared" si="3"/>
        <v>4293586.456</v>
      </c>
      <c r="C73" s="13">
        <f>IF(A73="","",'Loan EMI'!$B$11)</f>
        <v>43391.16167</v>
      </c>
      <c r="D73" s="13">
        <f>IF(A73="","",B73*'Loan EMI'!$B$9)</f>
        <v>30412.90406</v>
      </c>
      <c r="E73" s="13">
        <f t="shared" si="1"/>
        <v>12978.2576</v>
      </c>
      <c r="F73" s="13">
        <f t="shared" si="2"/>
        <v>4280608.198</v>
      </c>
    </row>
    <row r="74" ht="15.75" customHeight="1">
      <c r="A74" s="10">
        <f>IF(71&lt;='Loan EMI'!$B$10,71,"")</f>
        <v>71</v>
      </c>
      <c r="B74" s="13">
        <f t="shared" si="3"/>
        <v>4280608.198</v>
      </c>
      <c r="C74" s="13">
        <f>IF(A74="","",'Loan EMI'!$B$11)</f>
        <v>43391.16167</v>
      </c>
      <c r="D74" s="13">
        <f>IF(A74="","",B74*'Loan EMI'!$B$9)</f>
        <v>30320.97474</v>
      </c>
      <c r="E74" s="13">
        <f t="shared" si="1"/>
        <v>13070.18693</v>
      </c>
      <c r="F74" s="13">
        <f t="shared" si="2"/>
        <v>4267538.012</v>
      </c>
    </row>
    <row r="75" ht="15.75" customHeight="1">
      <c r="A75" s="10">
        <f>IF(72&lt;='Loan EMI'!$B$10,72,"")</f>
        <v>72</v>
      </c>
      <c r="B75" s="13">
        <f t="shared" si="3"/>
        <v>4267538.012</v>
      </c>
      <c r="C75" s="13">
        <f>IF(A75="","",'Loan EMI'!$B$11)</f>
        <v>43391.16167</v>
      </c>
      <c r="D75" s="13">
        <f>IF(A75="","",B75*'Loan EMI'!$B$9)</f>
        <v>30228.39425</v>
      </c>
      <c r="E75" s="13">
        <f t="shared" si="1"/>
        <v>13162.76742</v>
      </c>
      <c r="F75" s="13">
        <f t="shared" si="2"/>
        <v>4254375.244</v>
      </c>
    </row>
    <row r="76" ht="15.75" customHeight="1">
      <c r="A76" s="10">
        <f>IF(73&lt;='Loan EMI'!$B$10,73,"")</f>
        <v>73</v>
      </c>
      <c r="B76" s="13">
        <f t="shared" si="3"/>
        <v>4254375.244</v>
      </c>
      <c r="C76" s="13">
        <f>IF(A76="","",'Loan EMI'!$B$11)</f>
        <v>43391.16167</v>
      </c>
      <c r="D76" s="13">
        <f>IF(A76="","",B76*'Loan EMI'!$B$9)</f>
        <v>30135.15798</v>
      </c>
      <c r="E76" s="13">
        <f t="shared" si="1"/>
        <v>13256.00369</v>
      </c>
      <c r="F76" s="13">
        <f t="shared" si="2"/>
        <v>4241119.24</v>
      </c>
    </row>
    <row r="77" ht="15.75" customHeight="1">
      <c r="A77" s="10">
        <f>IF(74&lt;='Loan EMI'!$B$10,74,"")</f>
        <v>74</v>
      </c>
      <c r="B77" s="13">
        <f t="shared" si="3"/>
        <v>4241119.24</v>
      </c>
      <c r="C77" s="13">
        <f>IF(A77="","",'Loan EMI'!$B$11)</f>
        <v>43391.16167</v>
      </c>
      <c r="D77" s="13">
        <f>IF(A77="","",B77*'Loan EMI'!$B$9)</f>
        <v>30041.26129</v>
      </c>
      <c r="E77" s="13">
        <f t="shared" si="1"/>
        <v>13349.90038</v>
      </c>
      <c r="F77" s="13">
        <f t="shared" si="2"/>
        <v>4227769.34</v>
      </c>
    </row>
    <row r="78" ht="15.75" customHeight="1">
      <c r="A78" s="10">
        <f>IF(75&lt;='Loan EMI'!$B$10,75,"")</f>
        <v>75</v>
      </c>
      <c r="B78" s="13">
        <f t="shared" si="3"/>
        <v>4227769.34</v>
      </c>
      <c r="C78" s="13">
        <f>IF(A78="","",'Loan EMI'!$B$11)</f>
        <v>43391.16167</v>
      </c>
      <c r="D78" s="13">
        <f>IF(A78="","",B78*'Loan EMI'!$B$9)</f>
        <v>29946.69949</v>
      </c>
      <c r="E78" s="13">
        <f t="shared" si="1"/>
        <v>13444.46218</v>
      </c>
      <c r="F78" s="13">
        <f t="shared" si="2"/>
        <v>4214324.878</v>
      </c>
    </row>
    <row r="79" ht="15.75" customHeight="1">
      <c r="A79" s="10">
        <f>IF(76&lt;='Loan EMI'!$B$10,76,"")</f>
        <v>76</v>
      </c>
      <c r="B79" s="13">
        <f t="shared" si="3"/>
        <v>4214324.878</v>
      </c>
      <c r="C79" s="13">
        <f>IF(A79="","",'Loan EMI'!$B$11)</f>
        <v>43391.16167</v>
      </c>
      <c r="D79" s="13">
        <f>IF(A79="","",B79*'Loan EMI'!$B$9)</f>
        <v>29851.46788</v>
      </c>
      <c r="E79" s="13">
        <f t="shared" si="1"/>
        <v>13539.69378</v>
      </c>
      <c r="F79" s="13">
        <f t="shared" si="2"/>
        <v>4200785.184</v>
      </c>
    </row>
    <row r="80" ht="15.75" customHeight="1">
      <c r="A80" s="10">
        <f>IF(77&lt;='Loan EMI'!$B$10,77,"")</f>
        <v>77</v>
      </c>
      <c r="B80" s="13">
        <f t="shared" si="3"/>
        <v>4200785.184</v>
      </c>
      <c r="C80" s="13">
        <f>IF(A80="","",'Loan EMI'!$B$11)</f>
        <v>43391.16167</v>
      </c>
      <c r="D80" s="13">
        <f>IF(A80="","",B80*'Loan EMI'!$B$9)</f>
        <v>29755.56172</v>
      </c>
      <c r="E80" s="13">
        <f t="shared" si="1"/>
        <v>13635.59995</v>
      </c>
      <c r="F80" s="13">
        <f t="shared" si="2"/>
        <v>4187149.584</v>
      </c>
    </row>
    <row r="81" ht="15.75" customHeight="1">
      <c r="A81" s="10">
        <f>IF(78&lt;='Loan EMI'!$B$10,78,"")</f>
        <v>78</v>
      </c>
      <c r="B81" s="13">
        <f t="shared" si="3"/>
        <v>4187149.584</v>
      </c>
      <c r="C81" s="13">
        <f>IF(A81="","",'Loan EMI'!$B$11)</f>
        <v>43391.16167</v>
      </c>
      <c r="D81" s="13">
        <f>IF(A81="","",B81*'Loan EMI'!$B$9)</f>
        <v>29658.97622</v>
      </c>
      <c r="E81" s="13">
        <f t="shared" si="1"/>
        <v>13732.18545</v>
      </c>
      <c r="F81" s="13">
        <f t="shared" si="2"/>
        <v>4173417.399</v>
      </c>
    </row>
    <row r="82" ht="15.75" customHeight="1">
      <c r="A82" s="10">
        <f>IF(79&lt;='Loan EMI'!$B$10,79,"")</f>
        <v>79</v>
      </c>
      <c r="B82" s="13">
        <f t="shared" si="3"/>
        <v>4173417.399</v>
      </c>
      <c r="C82" s="13">
        <f>IF(A82="","",'Loan EMI'!$B$11)</f>
        <v>43391.16167</v>
      </c>
      <c r="D82" s="13">
        <f>IF(A82="","",B82*'Loan EMI'!$B$9)</f>
        <v>29561.70657</v>
      </c>
      <c r="E82" s="13">
        <f t="shared" si="1"/>
        <v>13829.45509</v>
      </c>
      <c r="F82" s="13">
        <f t="shared" si="2"/>
        <v>4159587.944</v>
      </c>
    </row>
    <row r="83" ht="15.75" customHeight="1">
      <c r="A83" s="10">
        <f>IF(80&lt;='Loan EMI'!$B$10,80,"")</f>
        <v>80</v>
      </c>
      <c r="B83" s="13">
        <f t="shared" si="3"/>
        <v>4159587.944</v>
      </c>
      <c r="C83" s="13">
        <f>IF(A83="","",'Loan EMI'!$B$11)</f>
        <v>43391.16167</v>
      </c>
      <c r="D83" s="13">
        <f>IF(A83="","",B83*'Loan EMI'!$B$9)</f>
        <v>29463.74793</v>
      </c>
      <c r="E83" s="13">
        <f t="shared" si="1"/>
        <v>13927.41373</v>
      </c>
      <c r="F83" s="13">
        <f t="shared" si="2"/>
        <v>4145660.53</v>
      </c>
    </row>
    <row r="84" ht="15.75" customHeight="1">
      <c r="A84" s="10">
        <f>IF(81&lt;='Loan EMI'!$B$10,81,"")</f>
        <v>81</v>
      </c>
      <c r="B84" s="13">
        <f t="shared" si="3"/>
        <v>4145660.53</v>
      </c>
      <c r="C84" s="13">
        <f>IF(A84="","",'Loan EMI'!$B$11)</f>
        <v>43391.16167</v>
      </c>
      <c r="D84" s="13">
        <f>IF(A84="","",B84*'Loan EMI'!$B$9)</f>
        <v>29365.09542</v>
      </c>
      <c r="E84" s="13">
        <f t="shared" si="1"/>
        <v>14026.06625</v>
      </c>
      <c r="F84" s="13">
        <f t="shared" si="2"/>
        <v>4131634.464</v>
      </c>
    </row>
    <row r="85" ht="15.75" customHeight="1">
      <c r="A85" s="10">
        <f>IF(82&lt;='Loan EMI'!$B$10,82,"")</f>
        <v>82</v>
      </c>
      <c r="B85" s="13">
        <f t="shared" si="3"/>
        <v>4131634.464</v>
      </c>
      <c r="C85" s="13">
        <f>IF(A85="","",'Loan EMI'!$B$11)</f>
        <v>43391.16167</v>
      </c>
      <c r="D85" s="13">
        <f>IF(A85="","",B85*'Loan EMI'!$B$9)</f>
        <v>29265.74412</v>
      </c>
      <c r="E85" s="13">
        <f t="shared" si="1"/>
        <v>14125.41755</v>
      </c>
      <c r="F85" s="13">
        <f t="shared" si="2"/>
        <v>4117509.046</v>
      </c>
    </row>
    <row r="86" ht="15.75" customHeight="1">
      <c r="A86" s="10">
        <f>IF(83&lt;='Loan EMI'!$B$10,83,"")</f>
        <v>83</v>
      </c>
      <c r="B86" s="13">
        <f t="shared" si="3"/>
        <v>4117509.046</v>
      </c>
      <c r="C86" s="13">
        <f>IF(A86="","",'Loan EMI'!$B$11)</f>
        <v>43391.16167</v>
      </c>
      <c r="D86" s="13">
        <f>IF(A86="","",B86*'Loan EMI'!$B$9)</f>
        <v>29165.68908</v>
      </c>
      <c r="E86" s="13">
        <f t="shared" si="1"/>
        <v>14225.47259</v>
      </c>
      <c r="F86" s="13">
        <f t="shared" si="2"/>
        <v>4103283.573</v>
      </c>
    </row>
    <row r="87" ht="15.75" customHeight="1">
      <c r="A87" s="10">
        <f>IF(84&lt;='Loan EMI'!$B$10,84,"")</f>
        <v>84</v>
      </c>
      <c r="B87" s="13">
        <f t="shared" si="3"/>
        <v>4103283.573</v>
      </c>
      <c r="C87" s="13">
        <f>IF(A87="","",'Loan EMI'!$B$11)</f>
        <v>43391.16167</v>
      </c>
      <c r="D87" s="13">
        <f>IF(A87="","",B87*'Loan EMI'!$B$9)</f>
        <v>29064.92531</v>
      </c>
      <c r="E87" s="13">
        <f t="shared" si="1"/>
        <v>14326.23636</v>
      </c>
      <c r="F87" s="13">
        <f t="shared" si="2"/>
        <v>4088957.337</v>
      </c>
    </row>
    <row r="88" ht="15.75" customHeight="1">
      <c r="A88" s="10">
        <f>IF(85&lt;='Loan EMI'!$B$10,85,"")</f>
        <v>85</v>
      </c>
      <c r="B88" s="13">
        <f t="shared" si="3"/>
        <v>4088957.337</v>
      </c>
      <c r="C88" s="13">
        <f>IF(A88="","",'Loan EMI'!$B$11)</f>
        <v>43391.16167</v>
      </c>
      <c r="D88" s="13">
        <f>IF(A88="","",B88*'Loan EMI'!$B$9)</f>
        <v>28963.4478</v>
      </c>
      <c r="E88" s="13">
        <f t="shared" si="1"/>
        <v>14427.71386</v>
      </c>
      <c r="F88" s="13">
        <f t="shared" si="2"/>
        <v>4074529.623</v>
      </c>
    </row>
    <row r="89" ht="15.75" customHeight="1">
      <c r="A89" s="10">
        <f>IF(86&lt;='Loan EMI'!$B$10,86,"")</f>
        <v>86</v>
      </c>
      <c r="B89" s="13">
        <f t="shared" si="3"/>
        <v>4074529.623</v>
      </c>
      <c r="C89" s="13">
        <f>IF(A89="","",'Loan EMI'!$B$11)</f>
        <v>43391.16167</v>
      </c>
      <c r="D89" s="13">
        <f>IF(A89="","",B89*'Loan EMI'!$B$9)</f>
        <v>28861.2515</v>
      </c>
      <c r="E89" s="13">
        <f t="shared" si="1"/>
        <v>14529.91017</v>
      </c>
      <c r="F89" s="13">
        <f t="shared" si="2"/>
        <v>4059999.713</v>
      </c>
    </row>
    <row r="90" ht="15.75" customHeight="1">
      <c r="A90" s="10">
        <f>IF(87&lt;='Loan EMI'!$B$10,87,"")</f>
        <v>87</v>
      </c>
      <c r="B90" s="13">
        <f t="shared" si="3"/>
        <v>4059999.713</v>
      </c>
      <c r="C90" s="13">
        <f>IF(A90="","",'Loan EMI'!$B$11)</f>
        <v>43391.16167</v>
      </c>
      <c r="D90" s="13">
        <f>IF(A90="","",B90*'Loan EMI'!$B$9)</f>
        <v>28758.3313</v>
      </c>
      <c r="E90" s="13">
        <f t="shared" si="1"/>
        <v>14632.83037</v>
      </c>
      <c r="F90" s="13">
        <f t="shared" si="2"/>
        <v>4045366.883</v>
      </c>
    </row>
    <row r="91" ht="15.75" customHeight="1">
      <c r="A91" s="10">
        <f>IF(88&lt;='Loan EMI'!$B$10,88,"")</f>
        <v>88</v>
      </c>
      <c r="B91" s="13">
        <f t="shared" si="3"/>
        <v>4045366.883</v>
      </c>
      <c r="C91" s="13">
        <f>IF(A91="","",'Loan EMI'!$B$11)</f>
        <v>43391.16167</v>
      </c>
      <c r="D91" s="13">
        <f>IF(A91="","",B91*'Loan EMI'!$B$9)</f>
        <v>28654.68209</v>
      </c>
      <c r="E91" s="13">
        <f t="shared" si="1"/>
        <v>14736.47958</v>
      </c>
      <c r="F91" s="13">
        <f t="shared" si="2"/>
        <v>4030630.403</v>
      </c>
    </row>
    <row r="92" ht="15.75" customHeight="1">
      <c r="A92" s="10">
        <f>IF(89&lt;='Loan EMI'!$B$10,89,"")</f>
        <v>89</v>
      </c>
      <c r="B92" s="13">
        <f t="shared" si="3"/>
        <v>4030630.403</v>
      </c>
      <c r="C92" s="13">
        <f>IF(A92="","",'Loan EMI'!$B$11)</f>
        <v>43391.16167</v>
      </c>
      <c r="D92" s="13">
        <f>IF(A92="","",B92*'Loan EMI'!$B$9)</f>
        <v>28550.29869</v>
      </c>
      <c r="E92" s="13">
        <f t="shared" si="1"/>
        <v>14840.86298</v>
      </c>
      <c r="F92" s="13">
        <f t="shared" si="2"/>
        <v>4015789.54</v>
      </c>
    </row>
    <row r="93" ht="15.75" customHeight="1">
      <c r="A93" s="10">
        <f>IF(90&lt;='Loan EMI'!$B$10,90,"")</f>
        <v>90</v>
      </c>
      <c r="B93" s="13">
        <f t="shared" si="3"/>
        <v>4015789.54</v>
      </c>
      <c r="C93" s="13">
        <f>IF(A93="","",'Loan EMI'!$B$11)</f>
        <v>43391.16167</v>
      </c>
      <c r="D93" s="13">
        <f>IF(A93="","",B93*'Loan EMI'!$B$9)</f>
        <v>28445.17591</v>
      </c>
      <c r="E93" s="13">
        <f t="shared" si="1"/>
        <v>14945.98576</v>
      </c>
      <c r="F93" s="13">
        <f t="shared" si="2"/>
        <v>4000843.554</v>
      </c>
    </row>
    <row r="94" ht="15.75" customHeight="1">
      <c r="A94" s="10">
        <f>IF(91&lt;='Loan EMI'!$B$10,91,"")</f>
        <v>91</v>
      </c>
      <c r="B94" s="13">
        <f t="shared" si="3"/>
        <v>4000843.554</v>
      </c>
      <c r="C94" s="13">
        <f>IF(A94="","",'Loan EMI'!$B$11)</f>
        <v>43391.16167</v>
      </c>
      <c r="D94" s="13">
        <f>IF(A94="","",B94*'Loan EMI'!$B$9)</f>
        <v>28339.30851</v>
      </c>
      <c r="E94" s="13">
        <f t="shared" si="1"/>
        <v>15051.85316</v>
      </c>
      <c r="F94" s="13">
        <f t="shared" si="2"/>
        <v>3985791.701</v>
      </c>
    </row>
    <row r="95" ht="15.75" customHeight="1">
      <c r="A95" s="10">
        <f>IF(92&lt;='Loan EMI'!$B$10,92,"")</f>
        <v>92</v>
      </c>
      <c r="B95" s="13">
        <f t="shared" si="3"/>
        <v>3985791.701</v>
      </c>
      <c r="C95" s="13">
        <f>IF(A95="","",'Loan EMI'!$B$11)</f>
        <v>43391.16167</v>
      </c>
      <c r="D95" s="13">
        <f>IF(A95="","",B95*'Loan EMI'!$B$9)</f>
        <v>28232.69122</v>
      </c>
      <c r="E95" s="13">
        <f t="shared" si="1"/>
        <v>15158.47045</v>
      </c>
      <c r="F95" s="13">
        <f t="shared" si="2"/>
        <v>3970633.231</v>
      </c>
    </row>
    <row r="96" ht="15.75" customHeight="1">
      <c r="A96" s="10">
        <f>IF(93&lt;='Loan EMI'!$B$10,93,"")</f>
        <v>93</v>
      </c>
      <c r="B96" s="13">
        <f t="shared" si="3"/>
        <v>3970633.231</v>
      </c>
      <c r="C96" s="13">
        <f>IF(A96="","",'Loan EMI'!$B$11)</f>
        <v>43391.16167</v>
      </c>
      <c r="D96" s="13">
        <f>IF(A96="","",B96*'Loan EMI'!$B$9)</f>
        <v>28125.31872</v>
      </c>
      <c r="E96" s="13">
        <f t="shared" si="1"/>
        <v>15265.84295</v>
      </c>
      <c r="F96" s="13">
        <f t="shared" si="2"/>
        <v>3955367.388</v>
      </c>
    </row>
    <row r="97" ht="15.75" customHeight="1">
      <c r="A97" s="10">
        <f>IF(94&lt;='Loan EMI'!$B$10,94,"")</f>
        <v>94</v>
      </c>
      <c r="B97" s="13">
        <f t="shared" si="3"/>
        <v>3955367.388</v>
      </c>
      <c r="C97" s="13">
        <f>IF(A97="","",'Loan EMI'!$B$11)</f>
        <v>43391.16167</v>
      </c>
      <c r="D97" s="13">
        <f>IF(A97="","",B97*'Loan EMI'!$B$9)</f>
        <v>28017.18566</v>
      </c>
      <c r="E97" s="13">
        <f t="shared" si="1"/>
        <v>15373.976</v>
      </c>
      <c r="F97" s="13">
        <f t="shared" si="2"/>
        <v>3939993.412</v>
      </c>
    </row>
    <row r="98" ht="15.75" customHeight="1">
      <c r="A98" s="10">
        <f>IF(95&lt;='Loan EMI'!$B$10,95,"")</f>
        <v>95</v>
      </c>
      <c r="B98" s="13">
        <f t="shared" si="3"/>
        <v>3939993.412</v>
      </c>
      <c r="C98" s="13">
        <f>IF(A98="","",'Loan EMI'!$B$11)</f>
        <v>43391.16167</v>
      </c>
      <c r="D98" s="13">
        <f>IF(A98="","",B98*'Loan EMI'!$B$9)</f>
        <v>27908.28667</v>
      </c>
      <c r="E98" s="13">
        <f t="shared" si="1"/>
        <v>15482.875</v>
      </c>
      <c r="F98" s="13">
        <f t="shared" si="2"/>
        <v>3924510.537</v>
      </c>
    </row>
    <row r="99" ht="15.75" customHeight="1">
      <c r="A99" s="10">
        <f>IF(96&lt;='Loan EMI'!$B$10,96,"")</f>
        <v>96</v>
      </c>
      <c r="B99" s="13">
        <f t="shared" si="3"/>
        <v>3924510.537</v>
      </c>
      <c r="C99" s="13">
        <f>IF(A99="","",'Loan EMI'!$B$11)</f>
        <v>43391.16167</v>
      </c>
      <c r="D99" s="13">
        <f>IF(A99="","",B99*'Loan EMI'!$B$9)</f>
        <v>27798.6163</v>
      </c>
      <c r="E99" s="13">
        <f t="shared" si="1"/>
        <v>15592.54537</v>
      </c>
      <c r="F99" s="13">
        <f t="shared" si="2"/>
        <v>3908917.991</v>
      </c>
    </row>
    <row r="100" ht="15.75" customHeight="1">
      <c r="A100" s="10">
        <f>IF(97&lt;='Loan EMI'!$B$10,97,"")</f>
        <v>97</v>
      </c>
      <c r="B100" s="13">
        <f t="shared" si="3"/>
        <v>3908917.991</v>
      </c>
      <c r="C100" s="13">
        <f>IF(A100="","",'Loan EMI'!$B$11)</f>
        <v>43391.16167</v>
      </c>
      <c r="D100" s="13">
        <f>IF(A100="","",B100*'Loan EMI'!$B$9)</f>
        <v>27688.16911</v>
      </c>
      <c r="E100" s="13">
        <f t="shared" si="1"/>
        <v>15702.99256</v>
      </c>
      <c r="F100" s="13">
        <f t="shared" si="2"/>
        <v>3893214.999</v>
      </c>
    </row>
    <row r="101" ht="15.75" customHeight="1">
      <c r="A101" s="10">
        <f>IF(98&lt;='Loan EMI'!$B$10,98,"")</f>
        <v>98</v>
      </c>
      <c r="B101" s="13">
        <f t="shared" si="3"/>
        <v>3893214.999</v>
      </c>
      <c r="C101" s="13">
        <f>IF(A101="","",'Loan EMI'!$B$11)</f>
        <v>43391.16167</v>
      </c>
      <c r="D101" s="13">
        <f>IF(A101="","",B101*'Loan EMI'!$B$9)</f>
        <v>27576.93958</v>
      </c>
      <c r="E101" s="13">
        <f t="shared" si="1"/>
        <v>15814.22209</v>
      </c>
      <c r="F101" s="13">
        <f t="shared" si="2"/>
        <v>3877400.777</v>
      </c>
    </row>
    <row r="102" ht="15.75" customHeight="1">
      <c r="A102" s="10">
        <f>IF(99&lt;='Loan EMI'!$B$10,99,"")</f>
        <v>99</v>
      </c>
      <c r="B102" s="13">
        <f t="shared" si="3"/>
        <v>3877400.777</v>
      </c>
      <c r="C102" s="13">
        <f>IF(A102="","",'Loan EMI'!$B$11)</f>
        <v>43391.16167</v>
      </c>
      <c r="D102" s="13">
        <f>IF(A102="","",B102*'Loan EMI'!$B$9)</f>
        <v>27464.92217</v>
      </c>
      <c r="E102" s="13">
        <f t="shared" si="1"/>
        <v>15926.2395</v>
      </c>
      <c r="F102" s="13">
        <f t="shared" si="2"/>
        <v>3861474.537</v>
      </c>
    </row>
    <row r="103" ht="15.75" customHeight="1">
      <c r="A103" s="10">
        <f>IF(100&lt;='Loan EMI'!$B$10,100,"")</f>
        <v>100</v>
      </c>
      <c r="B103" s="13">
        <f t="shared" si="3"/>
        <v>3861474.537</v>
      </c>
      <c r="C103" s="13">
        <f>IF(A103="","",'Loan EMI'!$B$11)</f>
        <v>43391.16167</v>
      </c>
      <c r="D103" s="13">
        <f>IF(A103="","",B103*'Loan EMI'!$B$9)</f>
        <v>27352.11131</v>
      </c>
      <c r="E103" s="13">
        <f t="shared" si="1"/>
        <v>16039.05036</v>
      </c>
      <c r="F103" s="13">
        <f t="shared" si="2"/>
        <v>3845435.487</v>
      </c>
    </row>
    <row r="104" ht="15.75" customHeight="1">
      <c r="A104" s="10">
        <f>IF(101&lt;='Loan EMI'!$B$10,101,"")</f>
        <v>101</v>
      </c>
      <c r="B104" s="13">
        <f t="shared" si="3"/>
        <v>3845435.487</v>
      </c>
      <c r="C104" s="13">
        <f>IF(A104="","",'Loan EMI'!$B$11)</f>
        <v>43391.16167</v>
      </c>
      <c r="D104" s="13">
        <f>IF(A104="","",B104*'Loan EMI'!$B$9)</f>
        <v>27238.50137</v>
      </c>
      <c r="E104" s="13">
        <f t="shared" si="1"/>
        <v>16152.6603</v>
      </c>
      <c r="F104" s="13">
        <f t="shared" si="2"/>
        <v>3829282.827</v>
      </c>
    </row>
    <row r="105" ht="15.75" customHeight="1">
      <c r="A105" s="10">
        <f>IF(102&lt;='Loan EMI'!$B$10,102,"")</f>
        <v>102</v>
      </c>
      <c r="B105" s="13">
        <f t="shared" si="3"/>
        <v>3829282.827</v>
      </c>
      <c r="C105" s="13">
        <f>IF(A105="","",'Loan EMI'!$B$11)</f>
        <v>43391.16167</v>
      </c>
      <c r="D105" s="13">
        <f>IF(A105="","",B105*'Loan EMI'!$B$9)</f>
        <v>27124.08669</v>
      </c>
      <c r="E105" s="13">
        <f t="shared" si="1"/>
        <v>16267.07498</v>
      </c>
      <c r="F105" s="13">
        <f t="shared" si="2"/>
        <v>3813015.752</v>
      </c>
    </row>
    <row r="106" ht="15.75" customHeight="1">
      <c r="A106" s="10">
        <f>IF(103&lt;='Loan EMI'!$B$10,103,"")</f>
        <v>103</v>
      </c>
      <c r="B106" s="13">
        <f t="shared" si="3"/>
        <v>3813015.752</v>
      </c>
      <c r="C106" s="13">
        <f>IF(A106="","",'Loan EMI'!$B$11)</f>
        <v>43391.16167</v>
      </c>
      <c r="D106" s="13">
        <f>IF(A106="","",B106*'Loan EMI'!$B$9)</f>
        <v>27008.86157</v>
      </c>
      <c r="E106" s="13">
        <f t="shared" si="1"/>
        <v>16382.30009</v>
      </c>
      <c r="F106" s="13">
        <f t="shared" si="2"/>
        <v>3796633.452</v>
      </c>
    </row>
    <row r="107" ht="15.75" customHeight="1">
      <c r="A107" s="10">
        <f>IF(104&lt;='Loan EMI'!$B$10,104,"")</f>
        <v>104</v>
      </c>
      <c r="B107" s="13">
        <f t="shared" si="3"/>
        <v>3796633.452</v>
      </c>
      <c r="C107" s="13">
        <f>IF(A107="","",'Loan EMI'!$B$11)</f>
        <v>43391.16167</v>
      </c>
      <c r="D107" s="13">
        <f>IF(A107="","",B107*'Loan EMI'!$B$9)</f>
        <v>26892.82028</v>
      </c>
      <c r="E107" s="13">
        <f t="shared" si="1"/>
        <v>16498.34139</v>
      </c>
      <c r="F107" s="13">
        <f t="shared" si="2"/>
        <v>3780135.11</v>
      </c>
    </row>
    <row r="108" ht="15.75" customHeight="1">
      <c r="A108" s="10">
        <f>IF(105&lt;='Loan EMI'!$B$10,105,"")</f>
        <v>105</v>
      </c>
      <c r="B108" s="13">
        <f t="shared" si="3"/>
        <v>3780135.11</v>
      </c>
      <c r="C108" s="13">
        <f>IF(A108="","",'Loan EMI'!$B$11)</f>
        <v>43391.16167</v>
      </c>
      <c r="D108" s="13">
        <f>IF(A108="","",B108*'Loan EMI'!$B$9)</f>
        <v>26775.95703</v>
      </c>
      <c r="E108" s="13">
        <f t="shared" si="1"/>
        <v>16615.20464</v>
      </c>
      <c r="F108" s="13">
        <f t="shared" si="2"/>
        <v>3763519.906</v>
      </c>
    </row>
    <row r="109" ht="15.75" customHeight="1">
      <c r="A109" s="10">
        <f>IF(106&lt;='Loan EMI'!$B$10,106,"")</f>
        <v>106</v>
      </c>
      <c r="B109" s="13">
        <f t="shared" si="3"/>
        <v>3763519.906</v>
      </c>
      <c r="C109" s="13">
        <f>IF(A109="","",'Loan EMI'!$B$11)</f>
        <v>43391.16167</v>
      </c>
      <c r="D109" s="13">
        <f>IF(A109="","",B109*'Loan EMI'!$B$9)</f>
        <v>26658.266</v>
      </c>
      <c r="E109" s="13">
        <f t="shared" si="1"/>
        <v>16732.89567</v>
      </c>
      <c r="F109" s="13">
        <f t="shared" si="2"/>
        <v>3746787.01</v>
      </c>
    </row>
    <row r="110" ht="15.75" customHeight="1">
      <c r="A110" s="10">
        <f>IF(107&lt;='Loan EMI'!$B$10,107,"")</f>
        <v>107</v>
      </c>
      <c r="B110" s="13">
        <f t="shared" si="3"/>
        <v>3746787.01</v>
      </c>
      <c r="C110" s="13">
        <f>IF(A110="","",'Loan EMI'!$B$11)</f>
        <v>43391.16167</v>
      </c>
      <c r="D110" s="13">
        <f>IF(A110="","",B110*'Loan EMI'!$B$9)</f>
        <v>26539.74132</v>
      </c>
      <c r="E110" s="13">
        <f t="shared" si="1"/>
        <v>16851.42035</v>
      </c>
      <c r="F110" s="13">
        <f t="shared" si="2"/>
        <v>3729935.589</v>
      </c>
    </row>
    <row r="111" ht="15.75" customHeight="1">
      <c r="A111" s="10">
        <f>IF(108&lt;='Loan EMI'!$B$10,108,"")</f>
        <v>108</v>
      </c>
      <c r="B111" s="13">
        <f t="shared" si="3"/>
        <v>3729935.589</v>
      </c>
      <c r="C111" s="13">
        <f>IF(A111="","",'Loan EMI'!$B$11)</f>
        <v>43391.16167</v>
      </c>
      <c r="D111" s="13">
        <f>IF(A111="","",B111*'Loan EMI'!$B$9)</f>
        <v>26420.37709</v>
      </c>
      <c r="E111" s="13">
        <f t="shared" si="1"/>
        <v>16970.78458</v>
      </c>
      <c r="F111" s="13">
        <f t="shared" si="2"/>
        <v>3712964.805</v>
      </c>
    </row>
    <row r="112" ht="15.75" customHeight="1">
      <c r="A112" s="10">
        <f>IF(109&lt;='Loan EMI'!$B$10,109,"")</f>
        <v>109</v>
      </c>
      <c r="B112" s="13">
        <f t="shared" si="3"/>
        <v>3712964.805</v>
      </c>
      <c r="C112" s="13">
        <f>IF(A112="","",'Loan EMI'!$B$11)</f>
        <v>43391.16167</v>
      </c>
      <c r="D112" s="13">
        <f>IF(A112="","",B112*'Loan EMI'!$B$9)</f>
        <v>26300.16737</v>
      </c>
      <c r="E112" s="13">
        <f t="shared" si="1"/>
        <v>17090.9943</v>
      </c>
      <c r="F112" s="13">
        <f t="shared" si="2"/>
        <v>3695873.811</v>
      </c>
    </row>
    <row r="113" ht="15.75" customHeight="1">
      <c r="A113" s="10">
        <f>IF(110&lt;='Loan EMI'!$B$10,110,"")</f>
        <v>110</v>
      </c>
      <c r="B113" s="13">
        <f t="shared" si="3"/>
        <v>3695873.811</v>
      </c>
      <c r="C113" s="13">
        <f>IF(A113="","",'Loan EMI'!$B$11)</f>
        <v>43391.16167</v>
      </c>
      <c r="D113" s="13">
        <f>IF(A113="","",B113*'Loan EMI'!$B$9)</f>
        <v>26179.10616</v>
      </c>
      <c r="E113" s="13">
        <f t="shared" si="1"/>
        <v>17212.05551</v>
      </c>
      <c r="F113" s="13">
        <f t="shared" si="2"/>
        <v>3678661.755</v>
      </c>
    </row>
    <row r="114" ht="15.75" customHeight="1">
      <c r="A114" s="10">
        <f>IF(111&lt;='Loan EMI'!$B$10,111,"")</f>
        <v>111</v>
      </c>
      <c r="B114" s="13">
        <f t="shared" si="3"/>
        <v>3678661.755</v>
      </c>
      <c r="C114" s="13">
        <f>IF(A114="","",'Loan EMI'!$B$11)</f>
        <v>43391.16167</v>
      </c>
      <c r="D114" s="13">
        <f>IF(A114="","",B114*'Loan EMI'!$B$9)</f>
        <v>26057.18743</v>
      </c>
      <c r="E114" s="13">
        <f t="shared" si="1"/>
        <v>17333.97424</v>
      </c>
      <c r="F114" s="13">
        <f t="shared" si="2"/>
        <v>3661327.781</v>
      </c>
    </row>
    <row r="115" ht="15.75" customHeight="1">
      <c r="A115" s="10">
        <f>IF(112&lt;='Loan EMI'!$B$10,112,"")</f>
        <v>112</v>
      </c>
      <c r="B115" s="13">
        <f t="shared" si="3"/>
        <v>3661327.781</v>
      </c>
      <c r="C115" s="13">
        <f>IF(A115="","",'Loan EMI'!$B$11)</f>
        <v>43391.16167</v>
      </c>
      <c r="D115" s="13">
        <f>IF(A115="","",B115*'Loan EMI'!$B$9)</f>
        <v>25934.40511</v>
      </c>
      <c r="E115" s="13">
        <f t="shared" si="1"/>
        <v>17456.75655</v>
      </c>
      <c r="F115" s="13">
        <f t="shared" si="2"/>
        <v>3643871.024</v>
      </c>
    </row>
    <row r="116" ht="15.75" customHeight="1">
      <c r="A116" s="10">
        <f>IF(113&lt;='Loan EMI'!$B$10,113,"")</f>
        <v>113</v>
      </c>
      <c r="B116" s="13">
        <f t="shared" si="3"/>
        <v>3643871.024</v>
      </c>
      <c r="C116" s="13">
        <f>IF(A116="","",'Loan EMI'!$B$11)</f>
        <v>43391.16167</v>
      </c>
      <c r="D116" s="13">
        <f>IF(A116="","",B116*'Loan EMI'!$B$9)</f>
        <v>25810.75309</v>
      </c>
      <c r="E116" s="13">
        <f t="shared" si="1"/>
        <v>17580.40858</v>
      </c>
      <c r="F116" s="13">
        <f t="shared" si="2"/>
        <v>3626290.616</v>
      </c>
    </row>
    <row r="117" ht="15.75" customHeight="1">
      <c r="A117" s="10">
        <f>IF(114&lt;='Loan EMI'!$B$10,114,"")</f>
        <v>114</v>
      </c>
      <c r="B117" s="13">
        <f t="shared" si="3"/>
        <v>3626290.616</v>
      </c>
      <c r="C117" s="13">
        <f>IF(A117="","",'Loan EMI'!$B$11)</f>
        <v>43391.16167</v>
      </c>
      <c r="D117" s="13">
        <f>IF(A117="","",B117*'Loan EMI'!$B$9)</f>
        <v>25686.22519</v>
      </c>
      <c r="E117" s="13">
        <f t="shared" si="1"/>
        <v>17704.93647</v>
      </c>
      <c r="F117" s="13">
        <f t="shared" si="2"/>
        <v>3608585.679</v>
      </c>
    </row>
    <row r="118" ht="15.75" customHeight="1">
      <c r="A118" s="10">
        <f>IF(115&lt;='Loan EMI'!$B$10,115,"")</f>
        <v>115</v>
      </c>
      <c r="B118" s="13">
        <f t="shared" si="3"/>
        <v>3608585.679</v>
      </c>
      <c r="C118" s="13">
        <f>IF(A118="","",'Loan EMI'!$B$11)</f>
        <v>43391.16167</v>
      </c>
      <c r="D118" s="13">
        <f>IF(A118="","",B118*'Loan EMI'!$B$9)</f>
        <v>25560.81523</v>
      </c>
      <c r="E118" s="13">
        <f t="shared" si="1"/>
        <v>17830.34644</v>
      </c>
      <c r="F118" s="13">
        <f t="shared" si="2"/>
        <v>3590755.333</v>
      </c>
    </row>
    <row r="119" ht="15.75" customHeight="1">
      <c r="A119" s="10">
        <f>IF(116&lt;='Loan EMI'!$B$10,116,"")</f>
        <v>116</v>
      </c>
      <c r="B119" s="13">
        <f t="shared" si="3"/>
        <v>3590755.333</v>
      </c>
      <c r="C119" s="13">
        <f>IF(A119="","",'Loan EMI'!$B$11)</f>
        <v>43391.16167</v>
      </c>
      <c r="D119" s="13">
        <f>IF(A119="","",B119*'Loan EMI'!$B$9)</f>
        <v>25434.51694</v>
      </c>
      <c r="E119" s="13">
        <f t="shared" si="1"/>
        <v>17956.64473</v>
      </c>
      <c r="F119" s="13">
        <f t="shared" si="2"/>
        <v>3572798.688</v>
      </c>
    </row>
    <row r="120" ht="15.75" customHeight="1">
      <c r="A120" s="10">
        <f>IF(117&lt;='Loan EMI'!$B$10,117,"")</f>
        <v>117</v>
      </c>
      <c r="B120" s="13">
        <f t="shared" si="3"/>
        <v>3572798.688</v>
      </c>
      <c r="C120" s="13">
        <f>IF(A120="","",'Loan EMI'!$B$11)</f>
        <v>43391.16167</v>
      </c>
      <c r="D120" s="13">
        <f>IF(A120="","",B120*'Loan EMI'!$B$9)</f>
        <v>25307.32404</v>
      </c>
      <c r="E120" s="13">
        <f t="shared" si="1"/>
        <v>18083.83763</v>
      </c>
      <c r="F120" s="13">
        <f t="shared" si="2"/>
        <v>3554714.85</v>
      </c>
    </row>
    <row r="121" ht="15.75" customHeight="1">
      <c r="A121" s="10">
        <f>IF(118&lt;='Loan EMI'!$B$10,118,"")</f>
        <v>118</v>
      </c>
      <c r="B121" s="13">
        <f t="shared" si="3"/>
        <v>3554714.85</v>
      </c>
      <c r="C121" s="13">
        <f>IF(A121="","",'Loan EMI'!$B$11)</f>
        <v>43391.16167</v>
      </c>
      <c r="D121" s="13">
        <f>IF(A121="","",B121*'Loan EMI'!$B$9)</f>
        <v>25179.23019</v>
      </c>
      <c r="E121" s="13">
        <f t="shared" si="1"/>
        <v>18211.93148</v>
      </c>
      <c r="F121" s="13">
        <f t="shared" si="2"/>
        <v>3536502.919</v>
      </c>
    </row>
    <row r="122" ht="15.75" customHeight="1">
      <c r="A122" s="10">
        <f>IF(119&lt;='Loan EMI'!$B$10,119,"")</f>
        <v>119</v>
      </c>
      <c r="B122" s="13">
        <f t="shared" si="3"/>
        <v>3536502.919</v>
      </c>
      <c r="C122" s="13">
        <f>IF(A122="","",'Loan EMI'!$B$11)</f>
        <v>43391.16167</v>
      </c>
      <c r="D122" s="13">
        <f>IF(A122="","",B122*'Loan EMI'!$B$9)</f>
        <v>25050.22901</v>
      </c>
      <c r="E122" s="13">
        <f t="shared" si="1"/>
        <v>18340.93266</v>
      </c>
      <c r="F122" s="13">
        <f t="shared" si="2"/>
        <v>3518161.986</v>
      </c>
    </row>
    <row r="123" ht="15.75" customHeight="1">
      <c r="A123" s="10">
        <f>IF(120&lt;='Loan EMI'!$B$10,120,"")</f>
        <v>120</v>
      </c>
      <c r="B123" s="13">
        <f t="shared" si="3"/>
        <v>3518161.986</v>
      </c>
      <c r="C123" s="13">
        <f>IF(A123="","",'Loan EMI'!$B$11)</f>
        <v>43391.16167</v>
      </c>
      <c r="D123" s="13">
        <f>IF(A123="","",B123*'Loan EMI'!$B$9)</f>
        <v>24920.31407</v>
      </c>
      <c r="E123" s="13">
        <f t="shared" si="1"/>
        <v>18470.8476</v>
      </c>
      <c r="F123" s="13">
        <f t="shared" si="2"/>
        <v>3499691.139</v>
      </c>
    </row>
    <row r="124" ht="15.75" customHeight="1">
      <c r="A124" s="10">
        <f>IF(121&lt;='Loan EMI'!$B$10,121,"")</f>
        <v>121</v>
      </c>
      <c r="B124" s="13">
        <f t="shared" si="3"/>
        <v>3499691.139</v>
      </c>
      <c r="C124" s="13">
        <f>IF(A124="","",'Loan EMI'!$B$11)</f>
        <v>43391.16167</v>
      </c>
      <c r="D124" s="13">
        <f>IF(A124="","",B124*'Loan EMI'!$B$9)</f>
        <v>24789.4789</v>
      </c>
      <c r="E124" s="13">
        <f t="shared" si="1"/>
        <v>18601.68277</v>
      </c>
      <c r="F124" s="13">
        <f t="shared" si="2"/>
        <v>3481089.456</v>
      </c>
    </row>
    <row r="125" ht="15.75" customHeight="1">
      <c r="A125" s="10">
        <f>IF(122&lt;='Loan EMI'!$B$10,122,"")</f>
        <v>122</v>
      </c>
      <c r="B125" s="13">
        <f t="shared" si="3"/>
        <v>3481089.456</v>
      </c>
      <c r="C125" s="13">
        <f>IF(A125="","",'Loan EMI'!$B$11)</f>
        <v>43391.16167</v>
      </c>
      <c r="D125" s="13">
        <f>IF(A125="","",B125*'Loan EMI'!$B$9)</f>
        <v>24657.71698</v>
      </c>
      <c r="E125" s="13">
        <f t="shared" si="1"/>
        <v>18733.44469</v>
      </c>
      <c r="F125" s="13">
        <f t="shared" si="2"/>
        <v>3462356.011</v>
      </c>
    </row>
    <row r="126" ht="15.75" customHeight="1">
      <c r="A126" s="10">
        <f>IF(123&lt;='Loan EMI'!$B$10,123,"")</f>
        <v>123</v>
      </c>
      <c r="B126" s="13">
        <f t="shared" si="3"/>
        <v>3462356.011</v>
      </c>
      <c r="C126" s="13">
        <f>IF(A126="","",'Loan EMI'!$B$11)</f>
        <v>43391.16167</v>
      </c>
      <c r="D126" s="13">
        <f>IF(A126="","",B126*'Loan EMI'!$B$9)</f>
        <v>24525.02175</v>
      </c>
      <c r="E126" s="13">
        <f t="shared" si="1"/>
        <v>18866.13992</v>
      </c>
      <c r="F126" s="13">
        <f t="shared" si="2"/>
        <v>3443489.871</v>
      </c>
    </row>
    <row r="127" ht="15.75" customHeight="1">
      <c r="A127" s="10">
        <f>IF(124&lt;='Loan EMI'!$B$10,124,"")</f>
        <v>124</v>
      </c>
      <c r="B127" s="13">
        <f t="shared" si="3"/>
        <v>3443489.871</v>
      </c>
      <c r="C127" s="13">
        <f>IF(A127="","",'Loan EMI'!$B$11)</f>
        <v>43391.16167</v>
      </c>
      <c r="D127" s="13">
        <f>IF(A127="","",B127*'Loan EMI'!$B$9)</f>
        <v>24391.38659</v>
      </c>
      <c r="E127" s="13">
        <f t="shared" si="1"/>
        <v>18999.77508</v>
      </c>
      <c r="F127" s="13">
        <f t="shared" si="2"/>
        <v>3424490.096</v>
      </c>
    </row>
    <row r="128" ht="15.75" customHeight="1">
      <c r="A128" s="10">
        <f>IF(125&lt;='Loan EMI'!$B$10,125,"")</f>
        <v>125</v>
      </c>
      <c r="B128" s="13">
        <f t="shared" si="3"/>
        <v>3424490.096</v>
      </c>
      <c r="C128" s="13">
        <f>IF(A128="","",'Loan EMI'!$B$11)</f>
        <v>43391.16167</v>
      </c>
      <c r="D128" s="13">
        <f>IF(A128="","",B128*'Loan EMI'!$B$9)</f>
        <v>24256.80485</v>
      </c>
      <c r="E128" s="13">
        <f t="shared" si="1"/>
        <v>19134.35682</v>
      </c>
      <c r="F128" s="13">
        <f t="shared" si="2"/>
        <v>3405355.739</v>
      </c>
    </row>
    <row r="129" ht="15.75" customHeight="1">
      <c r="A129" s="10">
        <f>IF(126&lt;='Loan EMI'!$B$10,126,"")</f>
        <v>126</v>
      </c>
      <c r="B129" s="13">
        <f t="shared" si="3"/>
        <v>3405355.739</v>
      </c>
      <c r="C129" s="13">
        <f>IF(A129="","",'Loan EMI'!$B$11)</f>
        <v>43391.16167</v>
      </c>
      <c r="D129" s="13">
        <f>IF(A129="","",B129*'Loan EMI'!$B$9)</f>
        <v>24121.26982</v>
      </c>
      <c r="E129" s="13">
        <f t="shared" si="1"/>
        <v>19269.89185</v>
      </c>
      <c r="F129" s="13">
        <f t="shared" si="2"/>
        <v>3386085.848</v>
      </c>
    </row>
    <row r="130" ht="15.75" customHeight="1">
      <c r="A130" s="10">
        <f>IF(127&lt;='Loan EMI'!$B$10,127,"")</f>
        <v>127</v>
      </c>
      <c r="B130" s="13">
        <f t="shared" si="3"/>
        <v>3386085.848</v>
      </c>
      <c r="C130" s="13">
        <f>IF(A130="","",'Loan EMI'!$B$11)</f>
        <v>43391.16167</v>
      </c>
      <c r="D130" s="13">
        <f>IF(A130="","",B130*'Loan EMI'!$B$9)</f>
        <v>23984.77475</v>
      </c>
      <c r="E130" s="13">
        <f t="shared" si="1"/>
        <v>19406.38691</v>
      </c>
      <c r="F130" s="13">
        <f t="shared" si="2"/>
        <v>3366679.461</v>
      </c>
    </row>
    <row r="131" ht="15.75" customHeight="1">
      <c r="A131" s="10">
        <f>IF(128&lt;='Loan EMI'!$B$10,128,"")</f>
        <v>128</v>
      </c>
      <c r="B131" s="13">
        <f t="shared" si="3"/>
        <v>3366679.461</v>
      </c>
      <c r="C131" s="13">
        <f>IF(A131="","",'Loan EMI'!$B$11)</f>
        <v>43391.16167</v>
      </c>
      <c r="D131" s="13">
        <f>IF(A131="","",B131*'Loan EMI'!$B$9)</f>
        <v>23847.31285</v>
      </c>
      <c r="E131" s="13">
        <f t="shared" si="1"/>
        <v>19543.84882</v>
      </c>
      <c r="F131" s="13">
        <f t="shared" si="2"/>
        <v>3347135.612</v>
      </c>
    </row>
    <row r="132" ht="15.75" customHeight="1">
      <c r="A132" s="10">
        <f>IF(129&lt;='Loan EMI'!$B$10,129,"")</f>
        <v>129</v>
      </c>
      <c r="B132" s="13">
        <f t="shared" si="3"/>
        <v>3347135.612</v>
      </c>
      <c r="C132" s="13">
        <f>IF(A132="","",'Loan EMI'!$B$11)</f>
        <v>43391.16167</v>
      </c>
      <c r="D132" s="13">
        <f>IF(A132="","",B132*'Loan EMI'!$B$9)</f>
        <v>23708.87725</v>
      </c>
      <c r="E132" s="13">
        <f t="shared" si="1"/>
        <v>19682.28442</v>
      </c>
      <c r="F132" s="13">
        <f t="shared" si="2"/>
        <v>3327453.327</v>
      </c>
    </row>
    <row r="133" ht="15.75" customHeight="1">
      <c r="A133" s="10">
        <f>IF(130&lt;='Loan EMI'!$B$10,130,"")</f>
        <v>130</v>
      </c>
      <c r="B133" s="13">
        <f t="shared" si="3"/>
        <v>3327453.327</v>
      </c>
      <c r="C133" s="13">
        <f>IF(A133="","",'Loan EMI'!$B$11)</f>
        <v>43391.16167</v>
      </c>
      <c r="D133" s="13">
        <f>IF(A133="","",B133*'Loan EMI'!$B$9)</f>
        <v>23569.46107</v>
      </c>
      <c r="E133" s="13">
        <f t="shared" si="1"/>
        <v>19821.7006</v>
      </c>
      <c r="F133" s="13">
        <f t="shared" si="2"/>
        <v>3307631.627</v>
      </c>
    </row>
    <row r="134" ht="15.75" customHeight="1">
      <c r="A134" s="10">
        <f>IF(131&lt;='Loan EMI'!$B$10,131,"")</f>
        <v>131</v>
      </c>
      <c r="B134" s="13">
        <f t="shared" si="3"/>
        <v>3307631.627</v>
      </c>
      <c r="C134" s="13">
        <f>IF(A134="","",'Loan EMI'!$B$11)</f>
        <v>43391.16167</v>
      </c>
      <c r="D134" s="13">
        <f>IF(A134="","",B134*'Loan EMI'!$B$9)</f>
        <v>23429.05736</v>
      </c>
      <c r="E134" s="13">
        <f t="shared" si="1"/>
        <v>19962.10431</v>
      </c>
      <c r="F134" s="13">
        <f t="shared" si="2"/>
        <v>3287669.523</v>
      </c>
    </row>
    <row r="135" ht="15.75" customHeight="1">
      <c r="A135" s="10">
        <f>IF(132&lt;='Loan EMI'!$B$10,132,"")</f>
        <v>132</v>
      </c>
      <c r="B135" s="13">
        <f t="shared" si="3"/>
        <v>3287669.523</v>
      </c>
      <c r="C135" s="13">
        <f>IF(A135="","",'Loan EMI'!$B$11)</f>
        <v>43391.16167</v>
      </c>
      <c r="D135" s="13">
        <f>IF(A135="","",B135*'Loan EMI'!$B$9)</f>
        <v>23287.65912</v>
      </c>
      <c r="E135" s="13">
        <f t="shared" si="1"/>
        <v>20103.50255</v>
      </c>
      <c r="F135" s="13">
        <f t="shared" si="2"/>
        <v>3267566.02</v>
      </c>
    </row>
    <row r="136" ht="15.75" customHeight="1">
      <c r="A136" s="10">
        <f>IF(133&lt;='Loan EMI'!$B$10,133,"")</f>
        <v>133</v>
      </c>
      <c r="B136" s="13">
        <f t="shared" si="3"/>
        <v>3267566.02</v>
      </c>
      <c r="C136" s="13">
        <f>IF(A136="","",'Loan EMI'!$B$11)</f>
        <v>43391.16167</v>
      </c>
      <c r="D136" s="13">
        <f>IF(A136="","",B136*'Loan EMI'!$B$9)</f>
        <v>23145.25931</v>
      </c>
      <c r="E136" s="13">
        <f t="shared" si="1"/>
        <v>20245.90236</v>
      </c>
      <c r="F136" s="13">
        <f t="shared" si="2"/>
        <v>3247320.118</v>
      </c>
    </row>
    <row r="137" ht="15.75" customHeight="1">
      <c r="A137" s="10">
        <f>IF(134&lt;='Loan EMI'!$B$10,134,"")</f>
        <v>134</v>
      </c>
      <c r="B137" s="13">
        <f t="shared" si="3"/>
        <v>3247320.118</v>
      </c>
      <c r="C137" s="13">
        <f>IF(A137="","",'Loan EMI'!$B$11)</f>
        <v>43391.16167</v>
      </c>
      <c r="D137" s="13">
        <f>IF(A137="","",B137*'Loan EMI'!$B$9)</f>
        <v>23001.85083</v>
      </c>
      <c r="E137" s="13">
        <f t="shared" si="1"/>
        <v>20389.31084</v>
      </c>
      <c r="F137" s="13">
        <f t="shared" si="2"/>
        <v>3226930.807</v>
      </c>
    </row>
    <row r="138" ht="15.75" customHeight="1">
      <c r="A138" s="10">
        <f>IF(135&lt;='Loan EMI'!$B$10,135,"")</f>
        <v>135</v>
      </c>
      <c r="B138" s="13">
        <f t="shared" si="3"/>
        <v>3226930.807</v>
      </c>
      <c r="C138" s="13">
        <f>IF(A138="","",'Loan EMI'!$B$11)</f>
        <v>43391.16167</v>
      </c>
      <c r="D138" s="13">
        <f>IF(A138="","",B138*'Loan EMI'!$B$9)</f>
        <v>22857.42655</v>
      </c>
      <c r="E138" s="13">
        <f t="shared" si="1"/>
        <v>20533.73512</v>
      </c>
      <c r="F138" s="13">
        <f t="shared" si="2"/>
        <v>3206397.072</v>
      </c>
    </row>
    <row r="139" ht="15.75" customHeight="1">
      <c r="A139" s="10">
        <f>IF(136&lt;='Loan EMI'!$B$10,136,"")</f>
        <v>136</v>
      </c>
      <c r="B139" s="13">
        <f t="shared" si="3"/>
        <v>3206397.072</v>
      </c>
      <c r="C139" s="13">
        <f>IF(A139="","",'Loan EMI'!$B$11)</f>
        <v>43391.16167</v>
      </c>
      <c r="D139" s="13">
        <f>IF(A139="","",B139*'Loan EMI'!$B$9)</f>
        <v>22711.97926</v>
      </c>
      <c r="E139" s="13">
        <f t="shared" si="1"/>
        <v>20679.18241</v>
      </c>
      <c r="F139" s="13">
        <f t="shared" si="2"/>
        <v>3185717.889</v>
      </c>
    </row>
    <row r="140" ht="15.75" customHeight="1">
      <c r="A140" s="10">
        <f>IF(137&lt;='Loan EMI'!$B$10,137,"")</f>
        <v>137</v>
      </c>
      <c r="B140" s="13">
        <f t="shared" si="3"/>
        <v>3185717.889</v>
      </c>
      <c r="C140" s="13">
        <f>IF(A140="","",'Loan EMI'!$B$11)</f>
        <v>43391.16167</v>
      </c>
      <c r="D140" s="13">
        <f>IF(A140="","",B140*'Loan EMI'!$B$9)</f>
        <v>22565.50172</v>
      </c>
      <c r="E140" s="13">
        <f t="shared" si="1"/>
        <v>20825.65995</v>
      </c>
      <c r="F140" s="13">
        <f t="shared" si="2"/>
        <v>3164892.229</v>
      </c>
    </row>
    <row r="141" ht="15.75" customHeight="1">
      <c r="A141" s="10">
        <f>IF(138&lt;='Loan EMI'!$B$10,138,"")</f>
        <v>138</v>
      </c>
      <c r="B141" s="13">
        <f t="shared" si="3"/>
        <v>3164892.229</v>
      </c>
      <c r="C141" s="13">
        <f>IF(A141="","",'Loan EMI'!$B$11)</f>
        <v>43391.16167</v>
      </c>
      <c r="D141" s="13">
        <f>IF(A141="","",B141*'Loan EMI'!$B$9)</f>
        <v>22417.98662</v>
      </c>
      <c r="E141" s="13">
        <f t="shared" si="1"/>
        <v>20973.17504</v>
      </c>
      <c r="F141" s="13">
        <f t="shared" si="2"/>
        <v>3143919.054</v>
      </c>
    </row>
    <row r="142" ht="15.75" customHeight="1">
      <c r="A142" s="10">
        <f>IF(139&lt;='Loan EMI'!$B$10,139,"")</f>
        <v>139</v>
      </c>
      <c r="B142" s="13">
        <f t="shared" si="3"/>
        <v>3143919.054</v>
      </c>
      <c r="C142" s="13">
        <f>IF(A142="","",'Loan EMI'!$B$11)</f>
        <v>43391.16167</v>
      </c>
      <c r="D142" s="13">
        <f>IF(A142="","",B142*'Loan EMI'!$B$9)</f>
        <v>22269.42663</v>
      </c>
      <c r="E142" s="13">
        <f t="shared" si="1"/>
        <v>21121.73503</v>
      </c>
      <c r="F142" s="13">
        <f t="shared" si="2"/>
        <v>3122797.319</v>
      </c>
    </row>
    <row r="143" ht="15.75" customHeight="1">
      <c r="A143" s="10">
        <f>IF(140&lt;='Loan EMI'!$B$10,140,"")</f>
        <v>140</v>
      </c>
      <c r="B143" s="13">
        <f t="shared" si="3"/>
        <v>3122797.319</v>
      </c>
      <c r="C143" s="13">
        <f>IF(A143="","",'Loan EMI'!$B$11)</f>
        <v>43391.16167</v>
      </c>
      <c r="D143" s="13">
        <f>IF(A143="","",B143*'Loan EMI'!$B$9)</f>
        <v>22119.81434</v>
      </c>
      <c r="E143" s="13">
        <f t="shared" si="1"/>
        <v>21271.34732</v>
      </c>
      <c r="F143" s="13">
        <f t="shared" si="2"/>
        <v>3101525.972</v>
      </c>
    </row>
    <row r="144" ht="15.75" customHeight="1">
      <c r="A144" s="10">
        <f>IF(141&lt;='Loan EMI'!$B$10,141,"")</f>
        <v>141</v>
      </c>
      <c r="B144" s="13">
        <f t="shared" si="3"/>
        <v>3101525.972</v>
      </c>
      <c r="C144" s="13">
        <f>IF(A144="","",'Loan EMI'!$B$11)</f>
        <v>43391.16167</v>
      </c>
      <c r="D144" s="13">
        <f>IF(A144="","",B144*'Loan EMI'!$B$9)</f>
        <v>21969.1423</v>
      </c>
      <c r="E144" s="13">
        <f t="shared" si="1"/>
        <v>21422.01937</v>
      </c>
      <c r="F144" s="13">
        <f t="shared" si="2"/>
        <v>3080103.953</v>
      </c>
    </row>
    <row r="145" ht="15.75" customHeight="1">
      <c r="A145" s="10">
        <f>IF(142&lt;='Loan EMI'!$B$10,142,"")</f>
        <v>142</v>
      </c>
      <c r="B145" s="13">
        <f t="shared" si="3"/>
        <v>3080103.953</v>
      </c>
      <c r="C145" s="13">
        <f>IF(A145="","",'Loan EMI'!$B$11)</f>
        <v>43391.16167</v>
      </c>
      <c r="D145" s="13">
        <f>IF(A145="","",B145*'Loan EMI'!$B$9)</f>
        <v>21817.403</v>
      </c>
      <c r="E145" s="13">
        <f t="shared" si="1"/>
        <v>21573.75867</v>
      </c>
      <c r="F145" s="13">
        <f t="shared" si="2"/>
        <v>3058530.194</v>
      </c>
    </row>
    <row r="146" ht="15.75" customHeight="1">
      <c r="A146" s="10">
        <f>IF(143&lt;='Loan EMI'!$B$10,143,"")</f>
        <v>143</v>
      </c>
      <c r="B146" s="13">
        <f t="shared" si="3"/>
        <v>3058530.194</v>
      </c>
      <c r="C146" s="13">
        <f>IF(A146="","",'Loan EMI'!$B$11)</f>
        <v>43391.16167</v>
      </c>
      <c r="D146" s="13">
        <f>IF(A146="","",B146*'Loan EMI'!$B$9)</f>
        <v>21664.58887</v>
      </c>
      <c r="E146" s="13">
        <f t="shared" si="1"/>
        <v>21726.5728</v>
      </c>
      <c r="F146" s="13">
        <f t="shared" si="2"/>
        <v>3036803.621</v>
      </c>
    </row>
    <row r="147" ht="15.75" customHeight="1">
      <c r="A147" s="10">
        <f>IF(144&lt;='Loan EMI'!$B$10,144,"")</f>
        <v>144</v>
      </c>
      <c r="B147" s="13">
        <f t="shared" si="3"/>
        <v>3036803.621</v>
      </c>
      <c r="C147" s="13">
        <f>IF(A147="","",'Loan EMI'!$B$11)</f>
        <v>43391.16167</v>
      </c>
      <c r="D147" s="13">
        <f>IF(A147="","",B147*'Loan EMI'!$B$9)</f>
        <v>21510.69232</v>
      </c>
      <c r="E147" s="13">
        <f t="shared" si="1"/>
        <v>21880.46935</v>
      </c>
      <c r="F147" s="13">
        <f t="shared" si="2"/>
        <v>3014923.152</v>
      </c>
    </row>
    <row r="148" ht="15.75" customHeight="1">
      <c r="A148" s="10">
        <f>IF(145&lt;='Loan EMI'!$B$10,145,"")</f>
        <v>145</v>
      </c>
      <c r="B148" s="13">
        <f t="shared" si="3"/>
        <v>3014923.152</v>
      </c>
      <c r="C148" s="13">
        <f>IF(A148="","",'Loan EMI'!$B$11)</f>
        <v>43391.16167</v>
      </c>
      <c r="D148" s="13">
        <f>IF(A148="","",B148*'Loan EMI'!$B$9)</f>
        <v>21355.70566</v>
      </c>
      <c r="E148" s="13">
        <f t="shared" si="1"/>
        <v>22035.45601</v>
      </c>
      <c r="F148" s="13">
        <f t="shared" si="2"/>
        <v>2992887.696</v>
      </c>
    </row>
    <row r="149" ht="15.75" customHeight="1">
      <c r="A149" s="10">
        <f>IF(146&lt;='Loan EMI'!$B$10,146,"")</f>
        <v>146</v>
      </c>
      <c r="B149" s="13">
        <f t="shared" si="3"/>
        <v>2992887.696</v>
      </c>
      <c r="C149" s="13">
        <f>IF(A149="","",'Loan EMI'!$B$11)</f>
        <v>43391.16167</v>
      </c>
      <c r="D149" s="13">
        <f>IF(A149="","",B149*'Loan EMI'!$B$9)</f>
        <v>21199.62118</v>
      </c>
      <c r="E149" s="13">
        <f t="shared" si="1"/>
        <v>22191.54049</v>
      </c>
      <c r="F149" s="13">
        <f t="shared" si="2"/>
        <v>2970696.155</v>
      </c>
    </row>
    <row r="150" ht="15.75" customHeight="1">
      <c r="A150" s="10">
        <f>IF(147&lt;='Loan EMI'!$B$10,147,"")</f>
        <v>147</v>
      </c>
      <c r="B150" s="13">
        <f t="shared" si="3"/>
        <v>2970696.155</v>
      </c>
      <c r="C150" s="13">
        <f>IF(A150="","",'Loan EMI'!$B$11)</f>
        <v>43391.16167</v>
      </c>
      <c r="D150" s="13">
        <f>IF(A150="","",B150*'Loan EMI'!$B$9)</f>
        <v>21042.4311</v>
      </c>
      <c r="E150" s="13">
        <f t="shared" si="1"/>
        <v>22348.73057</v>
      </c>
      <c r="F150" s="13">
        <f t="shared" si="2"/>
        <v>2948347.425</v>
      </c>
    </row>
    <row r="151" ht="15.75" customHeight="1">
      <c r="A151" s="10">
        <f>IF(148&lt;='Loan EMI'!$B$10,148,"")</f>
        <v>148</v>
      </c>
      <c r="B151" s="13">
        <f t="shared" si="3"/>
        <v>2948347.425</v>
      </c>
      <c r="C151" s="13">
        <f>IF(A151="","",'Loan EMI'!$B$11)</f>
        <v>43391.16167</v>
      </c>
      <c r="D151" s="13">
        <f>IF(A151="","",B151*'Loan EMI'!$B$9)</f>
        <v>20884.12759</v>
      </c>
      <c r="E151" s="13">
        <f t="shared" si="1"/>
        <v>22507.03408</v>
      </c>
      <c r="F151" s="13">
        <f t="shared" si="2"/>
        <v>2925840.391</v>
      </c>
    </row>
    <row r="152" ht="15.75" customHeight="1">
      <c r="A152" s="10">
        <f>IF(149&lt;='Loan EMI'!$B$10,149,"")</f>
        <v>149</v>
      </c>
      <c r="B152" s="13">
        <f t="shared" si="3"/>
        <v>2925840.391</v>
      </c>
      <c r="C152" s="13">
        <f>IF(A152="","",'Loan EMI'!$B$11)</f>
        <v>43391.16167</v>
      </c>
      <c r="D152" s="13">
        <f>IF(A152="","",B152*'Loan EMI'!$B$9)</f>
        <v>20724.70277</v>
      </c>
      <c r="E152" s="13">
        <f t="shared" si="1"/>
        <v>22666.4589</v>
      </c>
      <c r="F152" s="13">
        <f t="shared" si="2"/>
        <v>2903173.932</v>
      </c>
    </row>
    <row r="153" ht="15.75" customHeight="1">
      <c r="A153" s="10">
        <f>IF(150&lt;='Loan EMI'!$B$10,150,"")</f>
        <v>150</v>
      </c>
      <c r="B153" s="13">
        <f t="shared" si="3"/>
        <v>2903173.932</v>
      </c>
      <c r="C153" s="13">
        <f>IF(A153="","",'Loan EMI'!$B$11)</f>
        <v>43391.16167</v>
      </c>
      <c r="D153" s="13">
        <f>IF(A153="","",B153*'Loan EMI'!$B$9)</f>
        <v>20564.14868</v>
      </c>
      <c r="E153" s="13">
        <f t="shared" si="1"/>
        <v>22827.01299</v>
      </c>
      <c r="F153" s="13">
        <f t="shared" si="2"/>
        <v>2880346.919</v>
      </c>
    </row>
    <row r="154" ht="15.75" customHeight="1">
      <c r="A154" s="10">
        <f>IF(151&lt;='Loan EMI'!$B$10,151,"")</f>
        <v>151</v>
      </c>
      <c r="B154" s="13">
        <f t="shared" si="3"/>
        <v>2880346.919</v>
      </c>
      <c r="C154" s="13">
        <f>IF(A154="","",'Loan EMI'!$B$11)</f>
        <v>43391.16167</v>
      </c>
      <c r="D154" s="13">
        <f>IF(A154="","",B154*'Loan EMI'!$B$9)</f>
        <v>20402.45734</v>
      </c>
      <c r="E154" s="13">
        <f t="shared" si="1"/>
        <v>22988.70433</v>
      </c>
      <c r="F154" s="13">
        <f t="shared" si="2"/>
        <v>2857358.214</v>
      </c>
    </row>
    <row r="155" ht="15.75" customHeight="1">
      <c r="A155" s="10">
        <f>IF(152&lt;='Loan EMI'!$B$10,152,"")</f>
        <v>152</v>
      </c>
      <c r="B155" s="13">
        <f t="shared" si="3"/>
        <v>2857358.214</v>
      </c>
      <c r="C155" s="13">
        <f>IF(A155="","",'Loan EMI'!$B$11)</f>
        <v>43391.16167</v>
      </c>
      <c r="D155" s="13">
        <f>IF(A155="","",B155*'Loan EMI'!$B$9)</f>
        <v>20239.62069</v>
      </c>
      <c r="E155" s="13">
        <f t="shared" si="1"/>
        <v>23151.54098</v>
      </c>
      <c r="F155" s="13">
        <f t="shared" si="2"/>
        <v>2834206.673</v>
      </c>
    </row>
    <row r="156" ht="15.75" customHeight="1">
      <c r="A156" s="10">
        <f>IF(153&lt;='Loan EMI'!$B$10,153,"")</f>
        <v>153</v>
      </c>
      <c r="B156" s="13">
        <f t="shared" si="3"/>
        <v>2834206.673</v>
      </c>
      <c r="C156" s="13">
        <f>IF(A156="","",'Loan EMI'!$B$11)</f>
        <v>43391.16167</v>
      </c>
      <c r="D156" s="13">
        <f>IF(A156="","",B156*'Loan EMI'!$B$9)</f>
        <v>20075.6306</v>
      </c>
      <c r="E156" s="13">
        <f t="shared" si="1"/>
        <v>23315.53107</v>
      </c>
      <c r="F156" s="13">
        <f t="shared" si="2"/>
        <v>2810891.142</v>
      </c>
    </row>
    <row r="157" ht="15.75" customHeight="1">
      <c r="A157" s="10">
        <f>IF(154&lt;='Loan EMI'!$B$10,154,"")</f>
        <v>154</v>
      </c>
      <c r="B157" s="13">
        <f t="shared" si="3"/>
        <v>2810891.142</v>
      </c>
      <c r="C157" s="13">
        <f>IF(A157="","",'Loan EMI'!$B$11)</f>
        <v>43391.16167</v>
      </c>
      <c r="D157" s="13">
        <f>IF(A157="","",B157*'Loan EMI'!$B$9)</f>
        <v>19910.47892</v>
      </c>
      <c r="E157" s="13">
        <f t="shared" si="1"/>
        <v>23480.68274</v>
      </c>
      <c r="F157" s="13">
        <f t="shared" si="2"/>
        <v>2787410.46</v>
      </c>
    </row>
    <row r="158" ht="15.75" customHeight="1">
      <c r="A158" s="10">
        <f>IF(155&lt;='Loan EMI'!$B$10,155,"")</f>
        <v>155</v>
      </c>
      <c r="B158" s="13">
        <f t="shared" si="3"/>
        <v>2787410.46</v>
      </c>
      <c r="C158" s="13">
        <f>IF(A158="","",'Loan EMI'!$B$11)</f>
        <v>43391.16167</v>
      </c>
      <c r="D158" s="13">
        <f>IF(A158="","",B158*'Loan EMI'!$B$9)</f>
        <v>19744.15742</v>
      </c>
      <c r="E158" s="13">
        <f t="shared" si="1"/>
        <v>23647.00425</v>
      </c>
      <c r="F158" s="13">
        <f t="shared" si="2"/>
        <v>2763763.455</v>
      </c>
    </row>
    <row r="159" ht="15.75" customHeight="1">
      <c r="A159" s="10">
        <f>IF(156&lt;='Loan EMI'!$B$10,156,"")</f>
        <v>156</v>
      </c>
      <c r="B159" s="13">
        <f t="shared" si="3"/>
        <v>2763763.455</v>
      </c>
      <c r="C159" s="13">
        <f>IF(A159="","",'Loan EMI'!$B$11)</f>
        <v>43391.16167</v>
      </c>
      <c r="D159" s="13">
        <f>IF(A159="","",B159*'Loan EMI'!$B$9)</f>
        <v>19576.65781</v>
      </c>
      <c r="E159" s="13">
        <f t="shared" si="1"/>
        <v>23814.50386</v>
      </c>
      <c r="F159" s="13">
        <f t="shared" si="2"/>
        <v>2739948.951</v>
      </c>
    </row>
    <row r="160" ht="15.75" customHeight="1">
      <c r="A160" s="10">
        <f>IF(157&lt;='Loan EMI'!$B$10,157,"")</f>
        <v>157</v>
      </c>
      <c r="B160" s="13">
        <f t="shared" si="3"/>
        <v>2739948.951</v>
      </c>
      <c r="C160" s="13">
        <f>IF(A160="","",'Loan EMI'!$B$11)</f>
        <v>43391.16167</v>
      </c>
      <c r="D160" s="13">
        <f>IF(A160="","",B160*'Loan EMI'!$B$9)</f>
        <v>19407.97174</v>
      </c>
      <c r="E160" s="13">
        <f t="shared" si="1"/>
        <v>23983.18993</v>
      </c>
      <c r="F160" s="13">
        <f t="shared" si="2"/>
        <v>2715965.762</v>
      </c>
    </row>
    <row r="161" ht="15.75" customHeight="1">
      <c r="A161" s="10">
        <f>IF(158&lt;='Loan EMI'!$B$10,158,"")</f>
        <v>158</v>
      </c>
      <c r="B161" s="13">
        <f t="shared" si="3"/>
        <v>2715965.762</v>
      </c>
      <c r="C161" s="13">
        <f>IF(A161="","",'Loan EMI'!$B$11)</f>
        <v>43391.16167</v>
      </c>
      <c r="D161" s="13">
        <f>IF(A161="","",B161*'Loan EMI'!$B$9)</f>
        <v>19238.09081</v>
      </c>
      <c r="E161" s="13">
        <f t="shared" si="1"/>
        <v>24153.07086</v>
      </c>
      <c r="F161" s="13">
        <f t="shared" si="2"/>
        <v>2691812.691</v>
      </c>
    </row>
    <row r="162" ht="15.75" customHeight="1">
      <c r="A162" s="10">
        <f>IF(159&lt;='Loan EMI'!$B$10,159,"")</f>
        <v>159</v>
      </c>
      <c r="B162" s="13">
        <f t="shared" si="3"/>
        <v>2691812.691</v>
      </c>
      <c r="C162" s="13">
        <f>IF(A162="","",'Loan EMI'!$B$11)</f>
        <v>43391.16167</v>
      </c>
      <c r="D162" s="13">
        <f>IF(A162="","",B162*'Loan EMI'!$B$9)</f>
        <v>19067.00656</v>
      </c>
      <c r="E162" s="13">
        <f t="shared" si="1"/>
        <v>24324.15511</v>
      </c>
      <c r="F162" s="13">
        <f t="shared" si="2"/>
        <v>2667488.536</v>
      </c>
    </row>
    <row r="163" ht="15.75" customHeight="1">
      <c r="A163" s="10">
        <f>IF(160&lt;='Loan EMI'!$B$10,160,"")</f>
        <v>160</v>
      </c>
      <c r="B163" s="13">
        <f t="shared" si="3"/>
        <v>2667488.536</v>
      </c>
      <c r="C163" s="13">
        <f>IF(A163="","",'Loan EMI'!$B$11)</f>
        <v>43391.16167</v>
      </c>
      <c r="D163" s="13">
        <f>IF(A163="","",B163*'Loan EMI'!$B$9)</f>
        <v>18894.71046</v>
      </c>
      <c r="E163" s="13">
        <f t="shared" si="1"/>
        <v>24496.45121</v>
      </c>
      <c r="F163" s="13">
        <f t="shared" si="2"/>
        <v>2642992.084</v>
      </c>
    </row>
    <row r="164" ht="15.75" customHeight="1">
      <c r="A164" s="10">
        <f>IF(161&lt;='Loan EMI'!$B$10,161,"")</f>
        <v>161</v>
      </c>
      <c r="B164" s="13">
        <f t="shared" si="3"/>
        <v>2642992.084</v>
      </c>
      <c r="C164" s="13">
        <f>IF(A164="","",'Loan EMI'!$B$11)</f>
        <v>43391.16167</v>
      </c>
      <c r="D164" s="13">
        <f>IF(A164="","",B164*'Loan EMI'!$B$9)</f>
        <v>18721.19393</v>
      </c>
      <c r="E164" s="13">
        <f t="shared" si="1"/>
        <v>24669.96774</v>
      </c>
      <c r="F164" s="13">
        <f t="shared" si="2"/>
        <v>2618322.117</v>
      </c>
    </row>
    <row r="165" ht="15.75" customHeight="1">
      <c r="A165" s="10">
        <f>IF(162&lt;='Loan EMI'!$B$10,162,"")</f>
        <v>162</v>
      </c>
      <c r="B165" s="13">
        <f t="shared" si="3"/>
        <v>2618322.117</v>
      </c>
      <c r="C165" s="13">
        <f>IF(A165="","",'Loan EMI'!$B$11)</f>
        <v>43391.16167</v>
      </c>
      <c r="D165" s="13">
        <f>IF(A165="","",B165*'Loan EMI'!$B$9)</f>
        <v>18546.44833</v>
      </c>
      <c r="E165" s="13">
        <f t="shared" si="1"/>
        <v>24844.71334</v>
      </c>
      <c r="F165" s="13">
        <f t="shared" si="2"/>
        <v>2593477.403</v>
      </c>
    </row>
    <row r="166" ht="15.75" customHeight="1">
      <c r="A166" s="10">
        <f>IF(163&lt;='Loan EMI'!$B$10,163,"")</f>
        <v>163</v>
      </c>
      <c r="B166" s="13">
        <f t="shared" si="3"/>
        <v>2593477.403</v>
      </c>
      <c r="C166" s="13">
        <f>IF(A166="","",'Loan EMI'!$B$11)</f>
        <v>43391.16167</v>
      </c>
      <c r="D166" s="13">
        <f>IF(A166="","",B166*'Loan EMI'!$B$9)</f>
        <v>18370.46494</v>
      </c>
      <c r="E166" s="13">
        <f t="shared" si="1"/>
        <v>25020.69673</v>
      </c>
      <c r="F166" s="13">
        <f t="shared" si="2"/>
        <v>2568456.707</v>
      </c>
    </row>
    <row r="167" ht="15.75" customHeight="1">
      <c r="A167" s="10">
        <f>IF(164&lt;='Loan EMI'!$B$10,164,"")</f>
        <v>164</v>
      </c>
      <c r="B167" s="13">
        <f t="shared" si="3"/>
        <v>2568456.707</v>
      </c>
      <c r="C167" s="13">
        <f>IF(A167="","",'Loan EMI'!$B$11)</f>
        <v>43391.16167</v>
      </c>
      <c r="D167" s="13">
        <f>IF(A167="","",B167*'Loan EMI'!$B$9)</f>
        <v>18193.235</v>
      </c>
      <c r="E167" s="13">
        <f t="shared" si="1"/>
        <v>25197.92666</v>
      </c>
      <c r="F167" s="13">
        <f t="shared" si="2"/>
        <v>2543258.78</v>
      </c>
    </row>
    <row r="168" ht="15.75" customHeight="1">
      <c r="A168" s="10">
        <f>IF(165&lt;='Loan EMI'!$B$10,165,"")</f>
        <v>165</v>
      </c>
      <c r="B168" s="13">
        <f t="shared" si="3"/>
        <v>2543258.78</v>
      </c>
      <c r="C168" s="13">
        <f>IF(A168="","",'Loan EMI'!$B$11)</f>
        <v>43391.16167</v>
      </c>
      <c r="D168" s="13">
        <f>IF(A168="","",B168*'Loan EMI'!$B$9)</f>
        <v>18014.74969</v>
      </c>
      <c r="E168" s="13">
        <f t="shared" si="1"/>
        <v>25376.41198</v>
      </c>
      <c r="F168" s="13">
        <f t="shared" si="2"/>
        <v>2517882.368</v>
      </c>
    </row>
    <row r="169" ht="15.75" customHeight="1">
      <c r="A169" s="10">
        <f>IF(166&lt;='Loan EMI'!$B$10,166,"")</f>
        <v>166</v>
      </c>
      <c r="B169" s="13">
        <f t="shared" si="3"/>
        <v>2517882.368</v>
      </c>
      <c r="C169" s="13">
        <f>IF(A169="","",'Loan EMI'!$B$11)</f>
        <v>43391.16167</v>
      </c>
      <c r="D169" s="13">
        <f>IF(A169="","",B169*'Loan EMI'!$B$9)</f>
        <v>17835.00011</v>
      </c>
      <c r="E169" s="13">
        <f t="shared" si="1"/>
        <v>25556.16156</v>
      </c>
      <c r="F169" s="13">
        <f t="shared" si="2"/>
        <v>2492326.206</v>
      </c>
    </row>
    <row r="170" ht="15.75" customHeight="1">
      <c r="A170" s="10">
        <f>IF(167&lt;='Loan EMI'!$B$10,167,"")</f>
        <v>167</v>
      </c>
      <c r="B170" s="13">
        <f t="shared" si="3"/>
        <v>2492326.206</v>
      </c>
      <c r="C170" s="13">
        <f>IF(A170="","",'Loan EMI'!$B$11)</f>
        <v>43391.16167</v>
      </c>
      <c r="D170" s="13">
        <f>IF(A170="","",B170*'Loan EMI'!$B$9)</f>
        <v>17653.97729</v>
      </c>
      <c r="E170" s="13">
        <f t="shared" si="1"/>
        <v>25737.18437</v>
      </c>
      <c r="F170" s="13">
        <f t="shared" si="2"/>
        <v>2466589.022</v>
      </c>
    </row>
    <row r="171" ht="15.75" customHeight="1">
      <c r="A171" s="10">
        <f>IF(168&lt;='Loan EMI'!$B$10,168,"")</f>
        <v>168</v>
      </c>
      <c r="B171" s="13">
        <f t="shared" si="3"/>
        <v>2466589.022</v>
      </c>
      <c r="C171" s="13">
        <f>IF(A171="","",'Loan EMI'!$B$11)</f>
        <v>43391.16167</v>
      </c>
      <c r="D171" s="13">
        <f>IF(A171="","",B171*'Loan EMI'!$B$9)</f>
        <v>17471.67224</v>
      </c>
      <c r="E171" s="13">
        <f t="shared" si="1"/>
        <v>25919.48943</v>
      </c>
      <c r="F171" s="13">
        <f t="shared" si="2"/>
        <v>2440669.533</v>
      </c>
    </row>
    <row r="172" ht="15.75" customHeight="1">
      <c r="A172" s="10">
        <f>IF(169&lt;='Loan EMI'!$B$10,169,"")</f>
        <v>169</v>
      </c>
      <c r="B172" s="13">
        <f t="shared" si="3"/>
        <v>2440669.533</v>
      </c>
      <c r="C172" s="13">
        <f>IF(A172="","",'Loan EMI'!$B$11)</f>
        <v>43391.16167</v>
      </c>
      <c r="D172" s="13">
        <f>IF(A172="","",B172*'Loan EMI'!$B$9)</f>
        <v>17288.07586</v>
      </c>
      <c r="E172" s="13">
        <f t="shared" si="1"/>
        <v>26103.08581</v>
      </c>
      <c r="F172" s="13">
        <f t="shared" si="2"/>
        <v>2414566.447</v>
      </c>
    </row>
    <row r="173" ht="15.75" customHeight="1">
      <c r="A173" s="10">
        <f>IF(170&lt;='Loan EMI'!$B$10,170,"")</f>
        <v>170</v>
      </c>
      <c r="B173" s="13">
        <f t="shared" si="3"/>
        <v>2414566.447</v>
      </c>
      <c r="C173" s="13">
        <f>IF(A173="","",'Loan EMI'!$B$11)</f>
        <v>43391.16167</v>
      </c>
      <c r="D173" s="13">
        <f>IF(A173="","",B173*'Loan EMI'!$B$9)</f>
        <v>17103.179</v>
      </c>
      <c r="E173" s="13">
        <f t="shared" si="1"/>
        <v>26287.98267</v>
      </c>
      <c r="F173" s="13">
        <f t="shared" si="2"/>
        <v>2388278.464</v>
      </c>
    </row>
    <row r="174" ht="15.75" customHeight="1">
      <c r="A174" s="10">
        <f>IF(171&lt;='Loan EMI'!$B$10,171,"")</f>
        <v>171</v>
      </c>
      <c r="B174" s="13">
        <f t="shared" si="3"/>
        <v>2388278.464</v>
      </c>
      <c r="C174" s="13">
        <f>IF(A174="","",'Loan EMI'!$B$11)</f>
        <v>43391.16167</v>
      </c>
      <c r="D174" s="13">
        <f>IF(A174="","",B174*'Loan EMI'!$B$9)</f>
        <v>16916.97245</v>
      </c>
      <c r="E174" s="13">
        <f t="shared" si="1"/>
        <v>26474.18921</v>
      </c>
      <c r="F174" s="13">
        <f t="shared" si="2"/>
        <v>2361804.275</v>
      </c>
    </row>
    <row r="175" ht="15.75" customHeight="1">
      <c r="A175" s="10">
        <f>IF(172&lt;='Loan EMI'!$B$10,172,"")</f>
        <v>172</v>
      </c>
      <c r="B175" s="13">
        <f t="shared" si="3"/>
        <v>2361804.275</v>
      </c>
      <c r="C175" s="13">
        <f>IF(A175="","",'Loan EMI'!$B$11)</f>
        <v>43391.16167</v>
      </c>
      <c r="D175" s="13">
        <f>IF(A175="","",B175*'Loan EMI'!$B$9)</f>
        <v>16729.44695</v>
      </c>
      <c r="E175" s="13">
        <f t="shared" si="1"/>
        <v>26661.71472</v>
      </c>
      <c r="F175" s="13">
        <f t="shared" si="2"/>
        <v>2335142.56</v>
      </c>
    </row>
    <row r="176" ht="15.75" customHeight="1">
      <c r="A176" s="10">
        <f>IF(173&lt;='Loan EMI'!$B$10,173,"")</f>
        <v>173</v>
      </c>
      <c r="B176" s="13">
        <f t="shared" si="3"/>
        <v>2335142.56</v>
      </c>
      <c r="C176" s="13">
        <f>IF(A176="","",'Loan EMI'!$B$11)</f>
        <v>43391.16167</v>
      </c>
      <c r="D176" s="13">
        <f>IF(A176="","",B176*'Loan EMI'!$B$9)</f>
        <v>16540.59313</v>
      </c>
      <c r="E176" s="13">
        <f t="shared" si="1"/>
        <v>26850.56853</v>
      </c>
      <c r="F176" s="13">
        <f t="shared" si="2"/>
        <v>2308291.992</v>
      </c>
    </row>
    <row r="177" ht="15.75" customHeight="1">
      <c r="A177" s="10">
        <f>IF(174&lt;='Loan EMI'!$B$10,174,"")</f>
        <v>174</v>
      </c>
      <c r="B177" s="13">
        <f t="shared" si="3"/>
        <v>2308291.992</v>
      </c>
      <c r="C177" s="13">
        <f>IF(A177="","",'Loan EMI'!$B$11)</f>
        <v>43391.16167</v>
      </c>
      <c r="D177" s="13">
        <f>IF(A177="","",B177*'Loan EMI'!$B$9)</f>
        <v>16350.40161</v>
      </c>
      <c r="E177" s="13">
        <f t="shared" si="1"/>
        <v>27040.76006</v>
      </c>
      <c r="F177" s="13">
        <f t="shared" si="2"/>
        <v>2281251.232</v>
      </c>
    </row>
    <row r="178" ht="15.75" customHeight="1">
      <c r="A178" s="10">
        <f>IF(175&lt;='Loan EMI'!$B$10,175,"")</f>
        <v>175</v>
      </c>
      <c r="B178" s="13">
        <f t="shared" si="3"/>
        <v>2281251.232</v>
      </c>
      <c r="C178" s="13">
        <f>IF(A178="","",'Loan EMI'!$B$11)</f>
        <v>43391.16167</v>
      </c>
      <c r="D178" s="13">
        <f>IF(A178="","",B178*'Loan EMI'!$B$9)</f>
        <v>16158.86289</v>
      </c>
      <c r="E178" s="13">
        <f t="shared" si="1"/>
        <v>27232.29878</v>
      </c>
      <c r="F178" s="13">
        <f t="shared" si="2"/>
        <v>2254018.933</v>
      </c>
    </row>
    <row r="179" ht="15.75" customHeight="1">
      <c r="A179" s="10">
        <f>IF(176&lt;='Loan EMI'!$B$10,176,"")</f>
        <v>176</v>
      </c>
      <c r="B179" s="13">
        <f t="shared" si="3"/>
        <v>2254018.933</v>
      </c>
      <c r="C179" s="13">
        <f>IF(A179="","",'Loan EMI'!$B$11)</f>
        <v>43391.16167</v>
      </c>
      <c r="D179" s="13">
        <f>IF(A179="","",B179*'Loan EMI'!$B$9)</f>
        <v>15965.96744</v>
      </c>
      <c r="E179" s="13">
        <f t="shared" si="1"/>
        <v>27425.19423</v>
      </c>
      <c r="F179" s="13">
        <f t="shared" si="2"/>
        <v>2226593.739</v>
      </c>
    </row>
    <row r="180" ht="15.75" customHeight="1">
      <c r="A180" s="10">
        <f>IF(177&lt;='Loan EMI'!$B$10,177,"")</f>
        <v>177</v>
      </c>
      <c r="B180" s="13">
        <f t="shared" si="3"/>
        <v>2226593.739</v>
      </c>
      <c r="C180" s="13">
        <f>IF(A180="","",'Loan EMI'!$B$11)</f>
        <v>43391.16167</v>
      </c>
      <c r="D180" s="13">
        <f>IF(A180="","",B180*'Loan EMI'!$B$9)</f>
        <v>15771.70565</v>
      </c>
      <c r="E180" s="13">
        <f t="shared" si="1"/>
        <v>27619.45602</v>
      </c>
      <c r="F180" s="13">
        <f t="shared" si="2"/>
        <v>2198974.282</v>
      </c>
    </row>
    <row r="181" ht="15.75" customHeight="1">
      <c r="A181" s="10">
        <f>IF(178&lt;='Loan EMI'!$B$10,178,"")</f>
        <v>178</v>
      </c>
      <c r="B181" s="13">
        <f t="shared" si="3"/>
        <v>2198974.282</v>
      </c>
      <c r="C181" s="13">
        <f>IF(A181="","",'Loan EMI'!$B$11)</f>
        <v>43391.16167</v>
      </c>
      <c r="D181" s="13">
        <f>IF(A181="","",B181*'Loan EMI'!$B$9)</f>
        <v>15576.06783</v>
      </c>
      <c r="E181" s="13">
        <f t="shared" si="1"/>
        <v>27815.09383</v>
      </c>
      <c r="F181" s="13">
        <f t="shared" si="2"/>
        <v>2171159.189</v>
      </c>
    </row>
    <row r="182" ht="15.75" customHeight="1">
      <c r="A182" s="10">
        <f>IF(179&lt;='Loan EMI'!$B$10,179,"")</f>
        <v>179</v>
      </c>
      <c r="B182" s="13">
        <f t="shared" si="3"/>
        <v>2171159.189</v>
      </c>
      <c r="C182" s="13">
        <f>IF(A182="","",'Loan EMI'!$B$11)</f>
        <v>43391.16167</v>
      </c>
      <c r="D182" s="13">
        <f>IF(A182="","",B182*'Loan EMI'!$B$9)</f>
        <v>15379.04425</v>
      </c>
      <c r="E182" s="13">
        <f t="shared" si="1"/>
        <v>28012.11742</v>
      </c>
      <c r="F182" s="13">
        <f t="shared" si="2"/>
        <v>2143147.071</v>
      </c>
    </row>
    <row r="183" ht="15.75" customHeight="1">
      <c r="A183" s="10">
        <f>IF(180&lt;='Loan EMI'!$B$10,180,"")</f>
        <v>180</v>
      </c>
      <c r="B183" s="13">
        <f t="shared" si="3"/>
        <v>2143147.071</v>
      </c>
      <c r="C183" s="13">
        <f>IF(A183="","",'Loan EMI'!$B$11)</f>
        <v>43391.16167</v>
      </c>
      <c r="D183" s="13">
        <f>IF(A183="","",B183*'Loan EMI'!$B$9)</f>
        <v>15180.62509</v>
      </c>
      <c r="E183" s="13">
        <f t="shared" si="1"/>
        <v>28210.53658</v>
      </c>
      <c r="F183" s="13">
        <f t="shared" si="2"/>
        <v>2114936.535</v>
      </c>
    </row>
    <row r="184" ht="15.75" customHeight="1">
      <c r="A184" s="10">
        <f>IF(181&lt;='Loan EMI'!$B$10,181,"")</f>
        <v>181</v>
      </c>
      <c r="B184" s="13">
        <f t="shared" si="3"/>
        <v>2114936.535</v>
      </c>
      <c r="C184" s="13">
        <f>IF(A184="","",'Loan EMI'!$B$11)</f>
        <v>43391.16167</v>
      </c>
      <c r="D184" s="13">
        <f>IF(A184="","",B184*'Loan EMI'!$B$9)</f>
        <v>14980.80045</v>
      </c>
      <c r="E184" s="13">
        <f t="shared" si="1"/>
        <v>28410.36121</v>
      </c>
      <c r="F184" s="13">
        <f t="shared" si="2"/>
        <v>2086526.173</v>
      </c>
    </row>
    <row r="185" ht="15.75" customHeight="1">
      <c r="A185" s="10">
        <f>IF(182&lt;='Loan EMI'!$B$10,182,"")</f>
        <v>182</v>
      </c>
      <c r="B185" s="13">
        <f t="shared" si="3"/>
        <v>2086526.173</v>
      </c>
      <c r="C185" s="13">
        <f>IF(A185="","",'Loan EMI'!$B$11)</f>
        <v>43391.16167</v>
      </c>
      <c r="D185" s="13">
        <f>IF(A185="","",B185*'Loan EMI'!$B$9)</f>
        <v>14779.5604</v>
      </c>
      <c r="E185" s="13">
        <f t="shared" si="1"/>
        <v>28611.60127</v>
      </c>
      <c r="F185" s="13">
        <f t="shared" si="2"/>
        <v>2057914.572</v>
      </c>
    </row>
    <row r="186" ht="15.75" customHeight="1">
      <c r="A186" s="10">
        <f>IF(183&lt;='Loan EMI'!$B$10,183,"")</f>
        <v>183</v>
      </c>
      <c r="B186" s="13">
        <f t="shared" si="3"/>
        <v>2057914.572</v>
      </c>
      <c r="C186" s="13">
        <f>IF(A186="","",'Loan EMI'!$B$11)</f>
        <v>43391.16167</v>
      </c>
      <c r="D186" s="13">
        <f>IF(A186="","",B186*'Loan EMI'!$B$9)</f>
        <v>14576.89489</v>
      </c>
      <c r="E186" s="13">
        <f t="shared" si="1"/>
        <v>28814.26678</v>
      </c>
      <c r="F186" s="13">
        <f t="shared" si="2"/>
        <v>2029100.305</v>
      </c>
    </row>
    <row r="187" ht="15.75" customHeight="1">
      <c r="A187" s="10">
        <f>IF(184&lt;='Loan EMI'!$B$10,184,"")</f>
        <v>184</v>
      </c>
      <c r="B187" s="13">
        <f t="shared" si="3"/>
        <v>2029100.305</v>
      </c>
      <c r="C187" s="13">
        <f>IF(A187="","",'Loan EMI'!$B$11)</f>
        <v>43391.16167</v>
      </c>
      <c r="D187" s="13">
        <f>IF(A187="","",B187*'Loan EMI'!$B$9)</f>
        <v>14372.79383</v>
      </c>
      <c r="E187" s="13">
        <f t="shared" si="1"/>
        <v>29018.36784</v>
      </c>
      <c r="F187" s="13">
        <f t="shared" si="2"/>
        <v>2000081.938</v>
      </c>
    </row>
    <row r="188" ht="15.75" customHeight="1">
      <c r="A188" s="10">
        <f>IF(185&lt;='Loan EMI'!$B$10,185,"")</f>
        <v>185</v>
      </c>
      <c r="B188" s="13">
        <f t="shared" si="3"/>
        <v>2000081.938</v>
      </c>
      <c r="C188" s="13">
        <f>IF(A188="","",'Loan EMI'!$B$11)</f>
        <v>43391.16167</v>
      </c>
      <c r="D188" s="13">
        <f>IF(A188="","",B188*'Loan EMI'!$B$9)</f>
        <v>14167.24706</v>
      </c>
      <c r="E188" s="13">
        <f t="shared" si="1"/>
        <v>29223.91461</v>
      </c>
      <c r="F188" s="13">
        <f t="shared" si="2"/>
        <v>1970858.023</v>
      </c>
    </row>
    <row r="189" ht="15.75" customHeight="1">
      <c r="A189" s="10">
        <f>IF(186&lt;='Loan EMI'!$B$10,186,"")</f>
        <v>186</v>
      </c>
      <c r="B189" s="13">
        <f t="shared" si="3"/>
        <v>1970858.023</v>
      </c>
      <c r="C189" s="13">
        <f>IF(A189="","",'Loan EMI'!$B$11)</f>
        <v>43391.16167</v>
      </c>
      <c r="D189" s="13">
        <f>IF(A189="","",B189*'Loan EMI'!$B$9)</f>
        <v>13960.24433</v>
      </c>
      <c r="E189" s="13">
        <f t="shared" si="1"/>
        <v>29430.91734</v>
      </c>
      <c r="F189" s="13">
        <f t="shared" si="2"/>
        <v>1941427.106</v>
      </c>
    </row>
    <row r="190" ht="15.75" customHeight="1">
      <c r="A190" s="10">
        <f>IF(187&lt;='Loan EMI'!$B$10,187,"")</f>
        <v>187</v>
      </c>
      <c r="B190" s="13">
        <f t="shared" si="3"/>
        <v>1941427.106</v>
      </c>
      <c r="C190" s="13">
        <f>IF(A190="","",'Loan EMI'!$B$11)</f>
        <v>43391.16167</v>
      </c>
      <c r="D190" s="13">
        <f>IF(A190="","",B190*'Loan EMI'!$B$9)</f>
        <v>13751.77533</v>
      </c>
      <c r="E190" s="13">
        <f t="shared" si="1"/>
        <v>29639.38634</v>
      </c>
      <c r="F190" s="13">
        <f t="shared" si="2"/>
        <v>1911787.719</v>
      </c>
    </row>
    <row r="191" ht="15.75" customHeight="1">
      <c r="A191" s="10">
        <f>IF(188&lt;='Loan EMI'!$B$10,188,"")</f>
        <v>188</v>
      </c>
      <c r="B191" s="13">
        <f t="shared" si="3"/>
        <v>1911787.719</v>
      </c>
      <c r="C191" s="13">
        <f>IF(A191="","",'Loan EMI'!$B$11)</f>
        <v>43391.16167</v>
      </c>
      <c r="D191" s="13">
        <f>IF(A191="","",B191*'Loan EMI'!$B$9)</f>
        <v>13541.82968</v>
      </c>
      <c r="E191" s="13">
        <f t="shared" si="1"/>
        <v>29849.33199</v>
      </c>
      <c r="F191" s="13">
        <f t="shared" si="2"/>
        <v>1881938.387</v>
      </c>
    </row>
    <row r="192" ht="15.75" customHeight="1">
      <c r="A192" s="10">
        <f>IF(189&lt;='Loan EMI'!$B$10,189,"")</f>
        <v>189</v>
      </c>
      <c r="B192" s="13">
        <f t="shared" si="3"/>
        <v>1881938.387</v>
      </c>
      <c r="C192" s="13">
        <f>IF(A192="","",'Loan EMI'!$B$11)</f>
        <v>43391.16167</v>
      </c>
      <c r="D192" s="13">
        <f>IF(A192="","",B192*'Loan EMI'!$B$9)</f>
        <v>13330.39691</v>
      </c>
      <c r="E192" s="13">
        <f t="shared" si="1"/>
        <v>30060.76476</v>
      </c>
      <c r="F192" s="13">
        <f t="shared" si="2"/>
        <v>1851877.623</v>
      </c>
    </row>
    <row r="193" ht="15.75" customHeight="1">
      <c r="A193" s="10">
        <f>IF(190&lt;='Loan EMI'!$B$10,190,"")</f>
        <v>190</v>
      </c>
      <c r="B193" s="13">
        <f t="shared" si="3"/>
        <v>1851877.623</v>
      </c>
      <c r="C193" s="13">
        <f>IF(A193="","",'Loan EMI'!$B$11)</f>
        <v>43391.16167</v>
      </c>
      <c r="D193" s="13">
        <f>IF(A193="","",B193*'Loan EMI'!$B$9)</f>
        <v>13117.46649</v>
      </c>
      <c r="E193" s="13">
        <f t="shared" si="1"/>
        <v>30273.69518</v>
      </c>
      <c r="F193" s="13">
        <f t="shared" si="2"/>
        <v>1821603.927</v>
      </c>
    </row>
    <row r="194" ht="15.75" customHeight="1">
      <c r="A194" s="10">
        <f>IF(191&lt;='Loan EMI'!$B$10,191,"")</f>
        <v>191</v>
      </c>
      <c r="B194" s="13">
        <f t="shared" si="3"/>
        <v>1821603.927</v>
      </c>
      <c r="C194" s="13">
        <f>IF(A194="","",'Loan EMI'!$B$11)</f>
        <v>43391.16167</v>
      </c>
      <c r="D194" s="13">
        <f>IF(A194="","",B194*'Loan EMI'!$B$9)</f>
        <v>12903.02782</v>
      </c>
      <c r="E194" s="13">
        <f t="shared" si="1"/>
        <v>30488.13385</v>
      </c>
      <c r="F194" s="13">
        <f t="shared" si="2"/>
        <v>1791115.794</v>
      </c>
    </row>
    <row r="195" ht="15.75" customHeight="1">
      <c r="A195" s="10">
        <f>IF(192&lt;='Loan EMI'!$B$10,192,"")</f>
        <v>192</v>
      </c>
      <c r="B195" s="13">
        <f t="shared" si="3"/>
        <v>1791115.794</v>
      </c>
      <c r="C195" s="13">
        <f>IF(A195="","",'Loan EMI'!$B$11)</f>
        <v>43391.16167</v>
      </c>
      <c r="D195" s="13">
        <f>IF(A195="","",B195*'Loan EMI'!$B$9)</f>
        <v>12687.0702</v>
      </c>
      <c r="E195" s="13">
        <f t="shared" si="1"/>
        <v>30704.09146</v>
      </c>
      <c r="F195" s="13">
        <f t="shared" si="2"/>
        <v>1760411.702</v>
      </c>
    </row>
    <row r="196" ht="15.75" customHeight="1">
      <c r="A196" s="10">
        <f>IF(193&lt;='Loan EMI'!$B$10,193,"")</f>
        <v>193</v>
      </c>
      <c r="B196" s="13">
        <f t="shared" si="3"/>
        <v>1760411.702</v>
      </c>
      <c r="C196" s="13">
        <f>IF(A196="","",'Loan EMI'!$B$11)</f>
        <v>43391.16167</v>
      </c>
      <c r="D196" s="13">
        <f>IF(A196="","",B196*'Loan EMI'!$B$9)</f>
        <v>12469.58289</v>
      </c>
      <c r="E196" s="13">
        <f t="shared" si="1"/>
        <v>30921.57878</v>
      </c>
      <c r="F196" s="13">
        <f t="shared" si="2"/>
        <v>1729490.123</v>
      </c>
    </row>
    <row r="197" ht="15.75" customHeight="1">
      <c r="A197" s="10">
        <f>IF(194&lt;='Loan EMI'!$B$10,194,"")</f>
        <v>194</v>
      </c>
      <c r="B197" s="13">
        <f t="shared" si="3"/>
        <v>1729490.123</v>
      </c>
      <c r="C197" s="13">
        <f>IF(A197="","",'Loan EMI'!$B$11)</f>
        <v>43391.16167</v>
      </c>
      <c r="D197" s="13">
        <f>IF(A197="","",B197*'Loan EMI'!$B$9)</f>
        <v>12250.55504</v>
      </c>
      <c r="E197" s="13">
        <f t="shared" si="1"/>
        <v>31140.60663</v>
      </c>
      <c r="F197" s="13">
        <f t="shared" si="2"/>
        <v>1698349.517</v>
      </c>
    </row>
    <row r="198" ht="15.75" customHeight="1">
      <c r="A198" s="10">
        <f>IF(195&lt;='Loan EMI'!$B$10,195,"")</f>
        <v>195</v>
      </c>
      <c r="B198" s="13">
        <f t="shared" si="3"/>
        <v>1698349.517</v>
      </c>
      <c r="C198" s="13">
        <f>IF(A198="","",'Loan EMI'!$B$11)</f>
        <v>43391.16167</v>
      </c>
      <c r="D198" s="13">
        <f>IF(A198="","",B198*'Loan EMI'!$B$9)</f>
        <v>12029.97574</v>
      </c>
      <c r="E198" s="13">
        <f t="shared" si="1"/>
        <v>31361.18593</v>
      </c>
      <c r="F198" s="13">
        <f t="shared" si="2"/>
        <v>1666988.331</v>
      </c>
    </row>
    <row r="199" ht="15.75" customHeight="1">
      <c r="A199" s="10">
        <f>IF(196&lt;='Loan EMI'!$B$10,196,"")</f>
        <v>196</v>
      </c>
      <c r="B199" s="13">
        <f t="shared" si="3"/>
        <v>1666988.331</v>
      </c>
      <c r="C199" s="13">
        <f>IF(A199="","",'Loan EMI'!$B$11)</f>
        <v>43391.16167</v>
      </c>
      <c r="D199" s="13">
        <f>IF(A199="","",B199*'Loan EMI'!$B$9)</f>
        <v>11807.83401</v>
      </c>
      <c r="E199" s="13">
        <f t="shared" si="1"/>
        <v>31583.32766</v>
      </c>
      <c r="F199" s="13">
        <f t="shared" si="2"/>
        <v>1635405.003</v>
      </c>
    </row>
    <row r="200" ht="15.75" customHeight="1">
      <c r="A200" s="10">
        <f>IF(197&lt;='Loan EMI'!$B$10,197,"")</f>
        <v>197</v>
      </c>
      <c r="B200" s="13">
        <f t="shared" si="3"/>
        <v>1635405.003</v>
      </c>
      <c r="C200" s="13">
        <f>IF(A200="","",'Loan EMI'!$B$11)</f>
        <v>43391.16167</v>
      </c>
      <c r="D200" s="13">
        <f>IF(A200="","",B200*'Loan EMI'!$B$9)</f>
        <v>11584.11877</v>
      </c>
      <c r="E200" s="13">
        <f t="shared" si="1"/>
        <v>31807.0429</v>
      </c>
      <c r="F200" s="13">
        <f t="shared" si="2"/>
        <v>1603597.96</v>
      </c>
    </row>
    <row r="201" ht="15.75" customHeight="1">
      <c r="A201" s="10">
        <f>IF(198&lt;='Loan EMI'!$B$10,198,"")</f>
        <v>198</v>
      </c>
      <c r="B201" s="13">
        <f t="shared" si="3"/>
        <v>1603597.96</v>
      </c>
      <c r="C201" s="13">
        <f>IF(A201="","",'Loan EMI'!$B$11)</f>
        <v>43391.16167</v>
      </c>
      <c r="D201" s="13">
        <f>IF(A201="","",B201*'Loan EMI'!$B$9)</f>
        <v>11358.81888</v>
      </c>
      <c r="E201" s="13">
        <f t="shared" si="1"/>
        <v>32032.34278</v>
      </c>
      <c r="F201" s="13">
        <f t="shared" si="2"/>
        <v>1571565.617</v>
      </c>
    </row>
    <row r="202" ht="15.75" customHeight="1">
      <c r="A202" s="10">
        <f>IF(199&lt;='Loan EMI'!$B$10,199,"")</f>
        <v>199</v>
      </c>
      <c r="B202" s="13">
        <f t="shared" si="3"/>
        <v>1571565.617</v>
      </c>
      <c r="C202" s="13">
        <f>IF(A202="","",'Loan EMI'!$B$11)</f>
        <v>43391.16167</v>
      </c>
      <c r="D202" s="13">
        <f>IF(A202="","",B202*'Loan EMI'!$B$9)</f>
        <v>11131.92312</v>
      </c>
      <c r="E202" s="13">
        <f t="shared" si="1"/>
        <v>32259.23855</v>
      </c>
      <c r="F202" s="13">
        <f t="shared" si="2"/>
        <v>1539306.379</v>
      </c>
    </row>
    <row r="203" ht="15.75" customHeight="1">
      <c r="A203" s="10">
        <f>IF(200&lt;='Loan EMI'!$B$10,200,"")</f>
        <v>200</v>
      </c>
      <c r="B203" s="13">
        <f t="shared" si="3"/>
        <v>1539306.379</v>
      </c>
      <c r="C203" s="13">
        <f>IF(A203="","",'Loan EMI'!$B$11)</f>
        <v>43391.16167</v>
      </c>
      <c r="D203" s="13">
        <f>IF(A203="","",B203*'Loan EMI'!$B$9)</f>
        <v>10903.42018</v>
      </c>
      <c r="E203" s="13">
        <f t="shared" si="1"/>
        <v>32487.74148</v>
      </c>
      <c r="F203" s="13">
        <f t="shared" si="2"/>
        <v>1506818.637</v>
      </c>
    </row>
    <row r="204" ht="15.75" customHeight="1">
      <c r="A204" s="10">
        <f>IF(201&lt;='Loan EMI'!$B$10,201,"")</f>
        <v>201</v>
      </c>
      <c r="B204" s="13">
        <f t="shared" si="3"/>
        <v>1506818.637</v>
      </c>
      <c r="C204" s="13">
        <f>IF(A204="","",'Loan EMI'!$B$11)</f>
        <v>43391.16167</v>
      </c>
      <c r="D204" s="13">
        <f>IF(A204="","",B204*'Loan EMI'!$B$9)</f>
        <v>10673.29868</v>
      </c>
      <c r="E204" s="13">
        <f t="shared" si="1"/>
        <v>32717.86299</v>
      </c>
      <c r="F204" s="13">
        <f t="shared" si="2"/>
        <v>1474100.774</v>
      </c>
    </row>
    <row r="205" ht="15.75" customHeight="1">
      <c r="A205" s="10">
        <f>IF(202&lt;='Loan EMI'!$B$10,202,"")</f>
        <v>202</v>
      </c>
      <c r="B205" s="13">
        <f t="shared" si="3"/>
        <v>1474100.774</v>
      </c>
      <c r="C205" s="13">
        <f>IF(A205="","",'Loan EMI'!$B$11)</f>
        <v>43391.16167</v>
      </c>
      <c r="D205" s="13">
        <f>IF(A205="","",B205*'Loan EMI'!$B$9)</f>
        <v>10441.54715</v>
      </c>
      <c r="E205" s="13">
        <f t="shared" si="1"/>
        <v>32949.61452</v>
      </c>
      <c r="F205" s="13">
        <f t="shared" si="2"/>
        <v>1441151.16</v>
      </c>
    </row>
    <row r="206" ht="15.75" customHeight="1">
      <c r="A206" s="10">
        <f>IF(203&lt;='Loan EMI'!$B$10,203,"")</f>
        <v>203</v>
      </c>
      <c r="B206" s="13">
        <f t="shared" si="3"/>
        <v>1441151.16</v>
      </c>
      <c r="C206" s="13">
        <f>IF(A206="","",'Loan EMI'!$B$11)</f>
        <v>43391.16167</v>
      </c>
      <c r="D206" s="13">
        <f>IF(A206="","",B206*'Loan EMI'!$B$9)</f>
        <v>10208.15405</v>
      </c>
      <c r="E206" s="13">
        <f t="shared" si="1"/>
        <v>33183.00762</v>
      </c>
      <c r="F206" s="13">
        <f t="shared" si="2"/>
        <v>1407968.152</v>
      </c>
    </row>
    <row r="207" ht="15.75" customHeight="1">
      <c r="A207" s="10">
        <f>IF(204&lt;='Loan EMI'!$B$10,204,"")</f>
        <v>204</v>
      </c>
      <c r="B207" s="13">
        <f t="shared" si="3"/>
        <v>1407968.152</v>
      </c>
      <c r="C207" s="13">
        <f>IF(A207="","",'Loan EMI'!$B$11)</f>
        <v>43391.16167</v>
      </c>
      <c r="D207" s="13">
        <f>IF(A207="","",B207*'Loan EMI'!$B$9)</f>
        <v>9973.107745</v>
      </c>
      <c r="E207" s="13">
        <f t="shared" si="1"/>
        <v>33418.05392</v>
      </c>
      <c r="F207" s="13">
        <f t="shared" si="2"/>
        <v>1374550.098</v>
      </c>
    </row>
    <row r="208" ht="15.75" customHeight="1">
      <c r="A208" s="10">
        <f>IF(205&lt;='Loan EMI'!$B$10,205,"")</f>
        <v>205</v>
      </c>
      <c r="B208" s="13">
        <f t="shared" si="3"/>
        <v>1374550.098</v>
      </c>
      <c r="C208" s="13">
        <f>IF(A208="","",'Loan EMI'!$B$11)</f>
        <v>43391.16167</v>
      </c>
      <c r="D208" s="13">
        <f>IF(A208="","",B208*'Loan EMI'!$B$9)</f>
        <v>9736.39653</v>
      </c>
      <c r="E208" s="13">
        <f t="shared" si="1"/>
        <v>33654.76514</v>
      </c>
      <c r="F208" s="13">
        <f t="shared" si="2"/>
        <v>1340895.333</v>
      </c>
    </row>
    <row r="209" ht="15.75" customHeight="1">
      <c r="A209" s="10">
        <f>IF(206&lt;='Loan EMI'!$B$10,206,"")</f>
        <v>206</v>
      </c>
      <c r="B209" s="13">
        <f t="shared" si="3"/>
        <v>1340895.333</v>
      </c>
      <c r="C209" s="13">
        <f>IF(A209="","",'Loan EMI'!$B$11)</f>
        <v>43391.16167</v>
      </c>
      <c r="D209" s="13">
        <f>IF(A209="","",B209*'Loan EMI'!$B$9)</f>
        <v>9498.00861</v>
      </c>
      <c r="E209" s="13">
        <f t="shared" si="1"/>
        <v>33893.15306</v>
      </c>
      <c r="F209" s="13">
        <f t="shared" si="2"/>
        <v>1307002.18</v>
      </c>
    </row>
    <row r="210" ht="15.75" customHeight="1">
      <c r="A210" s="10">
        <f>IF(207&lt;='Loan EMI'!$B$10,207,"")</f>
        <v>207</v>
      </c>
      <c r="B210" s="13">
        <f t="shared" si="3"/>
        <v>1307002.18</v>
      </c>
      <c r="C210" s="13">
        <f>IF(A210="","",'Loan EMI'!$B$11)</f>
        <v>43391.16167</v>
      </c>
      <c r="D210" s="13">
        <f>IF(A210="","",B210*'Loan EMI'!$B$9)</f>
        <v>9257.932109</v>
      </c>
      <c r="E210" s="13">
        <f t="shared" si="1"/>
        <v>34133.22956</v>
      </c>
      <c r="F210" s="13">
        <f t="shared" si="2"/>
        <v>1272868.951</v>
      </c>
    </row>
    <row r="211" ht="15.75" customHeight="1">
      <c r="A211" s="10">
        <f>IF(208&lt;='Loan EMI'!$B$10,208,"")</f>
        <v>208</v>
      </c>
      <c r="B211" s="13">
        <f t="shared" si="3"/>
        <v>1272868.951</v>
      </c>
      <c r="C211" s="13">
        <f>IF(A211="","",'Loan EMI'!$B$11)</f>
        <v>43391.16167</v>
      </c>
      <c r="D211" s="13">
        <f>IF(A211="","",B211*'Loan EMI'!$B$9)</f>
        <v>9016.155066</v>
      </c>
      <c r="E211" s="13">
        <f t="shared" si="1"/>
        <v>34375.0066</v>
      </c>
      <c r="F211" s="13">
        <f t="shared" si="2"/>
        <v>1238493.944</v>
      </c>
    </row>
    <row r="212" ht="15.75" customHeight="1">
      <c r="A212" s="10">
        <f>IF(209&lt;='Loan EMI'!$B$10,209,"")</f>
        <v>209</v>
      </c>
      <c r="B212" s="13">
        <f t="shared" si="3"/>
        <v>1238493.944</v>
      </c>
      <c r="C212" s="13">
        <f>IF(A212="","",'Loan EMI'!$B$11)</f>
        <v>43391.16167</v>
      </c>
      <c r="D212" s="13">
        <f>IF(A212="","",B212*'Loan EMI'!$B$9)</f>
        <v>8772.665436</v>
      </c>
      <c r="E212" s="13">
        <f t="shared" si="1"/>
        <v>34618.49623</v>
      </c>
      <c r="F212" s="13">
        <f t="shared" si="2"/>
        <v>1203875.448</v>
      </c>
    </row>
    <row r="213" ht="15.75" customHeight="1">
      <c r="A213" s="10">
        <f>IF(210&lt;='Loan EMI'!$B$10,210,"")</f>
        <v>210</v>
      </c>
      <c r="B213" s="13">
        <f t="shared" si="3"/>
        <v>1203875.448</v>
      </c>
      <c r="C213" s="13">
        <f>IF(A213="","",'Loan EMI'!$B$11)</f>
        <v>43391.16167</v>
      </c>
      <c r="D213" s="13">
        <f>IF(A213="","",B213*'Loan EMI'!$B$9)</f>
        <v>8527.451088</v>
      </c>
      <c r="E213" s="13">
        <f t="shared" si="1"/>
        <v>34863.71058</v>
      </c>
      <c r="F213" s="13">
        <f t="shared" si="2"/>
        <v>1169011.737</v>
      </c>
    </row>
    <row r="214" ht="15.75" customHeight="1">
      <c r="A214" s="10">
        <f>IF(211&lt;='Loan EMI'!$B$10,211,"")</f>
        <v>211</v>
      </c>
      <c r="B214" s="13">
        <f t="shared" si="3"/>
        <v>1169011.737</v>
      </c>
      <c r="C214" s="13">
        <f>IF(A214="","",'Loan EMI'!$B$11)</f>
        <v>43391.16167</v>
      </c>
      <c r="D214" s="13">
        <f>IF(A214="","",B214*'Loan EMI'!$B$9)</f>
        <v>8280.499805</v>
      </c>
      <c r="E214" s="13">
        <f t="shared" si="1"/>
        <v>35110.66186</v>
      </c>
      <c r="F214" s="13">
        <f t="shared" si="2"/>
        <v>1133901.075</v>
      </c>
    </row>
    <row r="215" ht="15.75" customHeight="1">
      <c r="A215" s="10">
        <f>IF(212&lt;='Loan EMI'!$B$10,212,"")</f>
        <v>212</v>
      </c>
      <c r="B215" s="13">
        <f t="shared" si="3"/>
        <v>1133901.075</v>
      </c>
      <c r="C215" s="13">
        <f>IF(A215="","",'Loan EMI'!$B$11)</f>
        <v>43391.16167</v>
      </c>
      <c r="D215" s="13">
        <f>IF(A215="","",B215*'Loan EMI'!$B$9)</f>
        <v>8031.799283</v>
      </c>
      <c r="E215" s="13">
        <f t="shared" si="1"/>
        <v>35359.36239</v>
      </c>
      <c r="F215" s="13">
        <f t="shared" si="2"/>
        <v>1098541.713</v>
      </c>
    </row>
    <row r="216" ht="15.75" customHeight="1">
      <c r="A216" s="10">
        <f>IF(213&lt;='Loan EMI'!$B$10,213,"")</f>
        <v>213</v>
      </c>
      <c r="B216" s="13">
        <f t="shared" si="3"/>
        <v>1098541.713</v>
      </c>
      <c r="C216" s="13">
        <f>IF(A216="","",'Loan EMI'!$B$11)</f>
        <v>43391.16167</v>
      </c>
      <c r="D216" s="13">
        <f>IF(A216="","",B216*'Loan EMI'!$B$9)</f>
        <v>7781.337133</v>
      </c>
      <c r="E216" s="13">
        <f t="shared" si="1"/>
        <v>35609.82454</v>
      </c>
      <c r="F216" s="13">
        <f t="shared" si="2"/>
        <v>1062931.888</v>
      </c>
    </row>
    <row r="217" ht="15.75" customHeight="1">
      <c r="A217" s="10">
        <f>IF(214&lt;='Loan EMI'!$B$10,214,"")</f>
        <v>214</v>
      </c>
      <c r="B217" s="13">
        <f t="shared" si="3"/>
        <v>1062931.888</v>
      </c>
      <c r="C217" s="13">
        <f>IF(A217="","",'Loan EMI'!$B$11)</f>
        <v>43391.16167</v>
      </c>
      <c r="D217" s="13">
        <f>IF(A217="","",B217*'Loan EMI'!$B$9)</f>
        <v>7529.100876</v>
      </c>
      <c r="E217" s="13">
        <f t="shared" si="1"/>
        <v>35862.06079</v>
      </c>
      <c r="F217" s="13">
        <f t="shared" si="2"/>
        <v>1027069.828</v>
      </c>
    </row>
    <row r="218" ht="15.75" customHeight="1">
      <c r="A218" s="10">
        <f>IF(215&lt;='Loan EMI'!$B$10,215,"")</f>
        <v>215</v>
      </c>
      <c r="B218" s="13">
        <f t="shared" si="3"/>
        <v>1027069.828</v>
      </c>
      <c r="C218" s="13">
        <f>IF(A218="","",'Loan EMI'!$B$11)</f>
        <v>43391.16167</v>
      </c>
      <c r="D218" s="13">
        <f>IF(A218="","",B218*'Loan EMI'!$B$9)</f>
        <v>7275.077945</v>
      </c>
      <c r="E218" s="13">
        <f t="shared" si="1"/>
        <v>36116.08372</v>
      </c>
      <c r="F218" s="13">
        <f t="shared" si="2"/>
        <v>990953.7438</v>
      </c>
    </row>
    <row r="219" ht="15.75" customHeight="1">
      <c r="A219" s="10">
        <f>IF(216&lt;='Loan EMI'!$B$10,216,"")</f>
        <v>216</v>
      </c>
      <c r="B219" s="13">
        <f t="shared" si="3"/>
        <v>990953.7438</v>
      </c>
      <c r="C219" s="13">
        <f>IF(A219="","",'Loan EMI'!$B$11)</f>
        <v>43391.16167</v>
      </c>
      <c r="D219" s="13">
        <f>IF(A219="","",B219*'Loan EMI'!$B$9)</f>
        <v>7019.255685</v>
      </c>
      <c r="E219" s="13">
        <f t="shared" si="1"/>
        <v>36371.90598</v>
      </c>
      <c r="F219" s="13">
        <f t="shared" si="2"/>
        <v>954581.8378</v>
      </c>
    </row>
    <row r="220" ht="15.75" customHeight="1">
      <c r="A220" s="10">
        <f>IF(217&lt;='Loan EMI'!$B$10,217,"")</f>
        <v>217</v>
      </c>
      <c r="B220" s="13">
        <f t="shared" si="3"/>
        <v>954581.8378</v>
      </c>
      <c r="C220" s="13">
        <f>IF(A220="","",'Loan EMI'!$B$11)</f>
        <v>43391.16167</v>
      </c>
      <c r="D220" s="13">
        <f>IF(A220="","",B220*'Loan EMI'!$B$9)</f>
        <v>6761.621351</v>
      </c>
      <c r="E220" s="13">
        <f t="shared" si="1"/>
        <v>36629.54032</v>
      </c>
      <c r="F220" s="13">
        <f t="shared" si="2"/>
        <v>917952.2975</v>
      </c>
    </row>
    <row r="221" ht="15.75" customHeight="1">
      <c r="A221" s="10">
        <f>IF(218&lt;='Loan EMI'!$B$10,218,"")</f>
        <v>218</v>
      </c>
      <c r="B221" s="13">
        <f t="shared" si="3"/>
        <v>917952.2975</v>
      </c>
      <c r="C221" s="13">
        <f>IF(A221="","",'Loan EMI'!$B$11)</f>
        <v>43391.16167</v>
      </c>
      <c r="D221" s="13">
        <f>IF(A221="","",B221*'Loan EMI'!$B$9)</f>
        <v>6502.162107</v>
      </c>
      <c r="E221" s="13">
        <f t="shared" si="1"/>
        <v>36888.99956</v>
      </c>
      <c r="F221" s="13">
        <f t="shared" si="2"/>
        <v>881063.298</v>
      </c>
    </row>
    <row r="222" ht="15.75" customHeight="1">
      <c r="A222" s="10">
        <f>IF(219&lt;='Loan EMI'!$B$10,219,"")</f>
        <v>219</v>
      </c>
      <c r="B222" s="13">
        <f t="shared" si="3"/>
        <v>881063.298</v>
      </c>
      <c r="C222" s="13">
        <f>IF(A222="","",'Loan EMI'!$B$11)</f>
        <v>43391.16167</v>
      </c>
      <c r="D222" s="13">
        <f>IF(A222="","",B222*'Loan EMI'!$B$9)</f>
        <v>6240.865027</v>
      </c>
      <c r="E222" s="13">
        <f t="shared" si="1"/>
        <v>37150.29664</v>
      </c>
      <c r="F222" s="13">
        <f t="shared" si="2"/>
        <v>843913.0013</v>
      </c>
    </row>
    <row r="223" ht="15.75" customHeight="1">
      <c r="A223" s="10">
        <f>IF(220&lt;='Loan EMI'!$B$10,220,"")</f>
        <v>220</v>
      </c>
      <c r="B223" s="13">
        <f t="shared" si="3"/>
        <v>843913.0013</v>
      </c>
      <c r="C223" s="13">
        <f>IF(A223="","",'Loan EMI'!$B$11)</f>
        <v>43391.16167</v>
      </c>
      <c r="D223" s="13">
        <f>IF(A223="","",B223*'Loan EMI'!$B$9)</f>
        <v>5977.717093</v>
      </c>
      <c r="E223" s="13">
        <f t="shared" si="1"/>
        <v>37413.44458</v>
      </c>
      <c r="F223" s="13">
        <f t="shared" si="2"/>
        <v>806499.5567</v>
      </c>
    </row>
    <row r="224" ht="15.75" customHeight="1">
      <c r="A224" s="10">
        <f>IF(221&lt;='Loan EMI'!$B$10,221,"")</f>
        <v>221</v>
      </c>
      <c r="B224" s="13">
        <f t="shared" si="3"/>
        <v>806499.5567</v>
      </c>
      <c r="C224" s="13">
        <f>IF(A224="","",'Loan EMI'!$B$11)</f>
        <v>43391.16167</v>
      </c>
      <c r="D224" s="13">
        <f>IF(A224="","",B224*'Loan EMI'!$B$9)</f>
        <v>5712.705194</v>
      </c>
      <c r="E224" s="13">
        <f t="shared" si="1"/>
        <v>37678.45647</v>
      </c>
      <c r="F224" s="13">
        <f t="shared" si="2"/>
        <v>768821.1003</v>
      </c>
    </row>
    <row r="225" ht="15.75" customHeight="1">
      <c r="A225" s="10">
        <f>IF(222&lt;='Loan EMI'!$B$10,222,"")</f>
        <v>222</v>
      </c>
      <c r="B225" s="13">
        <f t="shared" si="3"/>
        <v>768821.1003</v>
      </c>
      <c r="C225" s="13">
        <f>IF(A225="","",'Loan EMI'!$B$11)</f>
        <v>43391.16167</v>
      </c>
      <c r="D225" s="13">
        <f>IF(A225="","",B225*'Loan EMI'!$B$9)</f>
        <v>5445.816127</v>
      </c>
      <c r="E225" s="13">
        <f t="shared" si="1"/>
        <v>37945.34554</v>
      </c>
      <c r="F225" s="13">
        <f t="shared" si="2"/>
        <v>730875.7547</v>
      </c>
    </row>
    <row r="226" ht="15.75" customHeight="1">
      <c r="A226" s="10">
        <f>IF(223&lt;='Loan EMI'!$B$10,223,"")</f>
        <v>223</v>
      </c>
      <c r="B226" s="13">
        <f t="shared" si="3"/>
        <v>730875.7547</v>
      </c>
      <c r="C226" s="13">
        <f>IF(A226="","",'Loan EMI'!$B$11)</f>
        <v>43391.16167</v>
      </c>
      <c r="D226" s="13">
        <f>IF(A226="","",B226*'Loan EMI'!$B$9)</f>
        <v>5177.036596</v>
      </c>
      <c r="E226" s="13">
        <f t="shared" si="1"/>
        <v>38214.12507</v>
      </c>
      <c r="F226" s="13">
        <f t="shared" si="2"/>
        <v>692661.6297</v>
      </c>
    </row>
    <row r="227" ht="15.75" customHeight="1">
      <c r="A227" s="10">
        <f>IF(224&lt;='Loan EMI'!$B$10,224,"")</f>
        <v>224</v>
      </c>
      <c r="B227" s="13">
        <f t="shared" si="3"/>
        <v>692661.6297</v>
      </c>
      <c r="C227" s="13">
        <f>IF(A227="","",'Loan EMI'!$B$11)</f>
        <v>43391.16167</v>
      </c>
      <c r="D227" s="13">
        <f>IF(A227="","",B227*'Loan EMI'!$B$9)</f>
        <v>4906.35321</v>
      </c>
      <c r="E227" s="13">
        <f t="shared" si="1"/>
        <v>38484.80846</v>
      </c>
      <c r="F227" s="13">
        <f t="shared" si="2"/>
        <v>654176.8212</v>
      </c>
    </row>
    <row r="228" ht="15.75" customHeight="1">
      <c r="A228" s="10">
        <f>IF(225&lt;='Loan EMI'!$B$10,225,"")</f>
        <v>225</v>
      </c>
      <c r="B228" s="13">
        <f t="shared" si="3"/>
        <v>654176.8212</v>
      </c>
      <c r="C228" s="13">
        <f>IF(A228="","",'Loan EMI'!$B$11)</f>
        <v>43391.16167</v>
      </c>
      <c r="D228" s="13">
        <f>IF(A228="","",B228*'Loan EMI'!$B$9)</f>
        <v>4633.752483</v>
      </c>
      <c r="E228" s="13">
        <f t="shared" si="1"/>
        <v>38757.40918</v>
      </c>
      <c r="F228" s="13">
        <f t="shared" si="2"/>
        <v>615419.412</v>
      </c>
    </row>
    <row r="229" ht="15.75" customHeight="1">
      <c r="A229" s="10">
        <f>IF(226&lt;='Loan EMI'!$B$10,226,"")</f>
        <v>226</v>
      </c>
      <c r="B229" s="13">
        <f t="shared" si="3"/>
        <v>615419.412</v>
      </c>
      <c r="C229" s="13">
        <f>IF(A229="","",'Loan EMI'!$B$11)</f>
        <v>43391.16167</v>
      </c>
      <c r="D229" s="13">
        <f>IF(A229="","",B229*'Loan EMI'!$B$9)</f>
        <v>4359.220835</v>
      </c>
      <c r="E229" s="13">
        <f t="shared" si="1"/>
        <v>39031.94083</v>
      </c>
      <c r="F229" s="13">
        <f t="shared" si="2"/>
        <v>576387.4712</v>
      </c>
    </row>
    <row r="230" ht="15.75" customHeight="1">
      <c r="A230" s="10">
        <f>IF(227&lt;='Loan EMI'!$B$10,227,"")</f>
        <v>227</v>
      </c>
      <c r="B230" s="13">
        <f t="shared" si="3"/>
        <v>576387.4712</v>
      </c>
      <c r="C230" s="13">
        <f>IF(A230="","",'Loan EMI'!$B$11)</f>
        <v>43391.16167</v>
      </c>
      <c r="D230" s="13">
        <f>IF(A230="","",B230*'Loan EMI'!$B$9)</f>
        <v>4082.744587</v>
      </c>
      <c r="E230" s="13">
        <f t="shared" si="1"/>
        <v>39308.41708</v>
      </c>
      <c r="F230" s="13">
        <f t="shared" si="2"/>
        <v>537079.0541</v>
      </c>
    </row>
    <row r="231" ht="15.75" customHeight="1">
      <c r="A231" s="10">
        <f>IF(228&lt;='Loan EMI'!$B$10,228,"")</f>
        <v>228</v>
      </c>
      <c r="B231" s="13">
        <f t="shared" si="3"/>
        <v>537079.0541</v>
      </c>
      <c r="C231" s="13">
        <f>IF(A231="","",'Loan EMI'!$B$11)</f>
        <v>43391.16167</v>
      </c>
      <c r="D231" s="13">
        <f>IF(A231="","",B231*'Loan EMI'!$B$9)</f>
        <v>3804.309967</v>
      </c>
      <c r="E231" s="13">
        <f t="shared" si="1"/>
        <v>39586.8517</v>
      </c>
      <c r="F231" s="13">
        <f t="shared" si="2"/>
        <v>497492.2024</v>
      </c>
    </row>
    <row r="232" ht="15.75" customHeight="1">
      <c r="A232" s="10">
        <f>IF(229&lt;='Loan EMI'!$B$10,229,"")</f>
        <v>229</v>
      </c>
      <c r="B232" s="13">
        <f t="shared" si="3"/>
        <v>497492.2024</v>
      </c>
      <c r="C232" s="13">
        <f>IF(A232="","",'Loan EMI'!$B$11)</f>
        <v>43391.16167</v>
      </c>
      <c r="D232" s="13">
        <f>IF(A232="","",B232*'Loan EMI'!$B$9)</f>
        <v>3523.9031</v>
      </c>
      <c r="E232" s="13">
        <f t="shared" si="1"/>
        <v>39867.25857</v>
      </c>
      <c r="F232" s="13">
        <f t="shared" si="2"/>
        <v>457624.9438</v>
      </c>
    </row>
    <row r="233" ht="15.75" customHeight="1">
      <c r="A233" s="10">
        <f>IF(230&lt;='Loan EMI'!$B$10,230,"")</f>
        <v>230</v>
      </c>
      <c r="B233" s="13">
        <f t="shared" si="3"/>
        <v>457624.9438</v>
      </c>
      <c r="C233" s="13">
        <f>IF(A233="","",'Loan EMI'!$B$11)</f>
        <v>43391.16167</v>
      </c>
      <c r="D233" s="13">
        <f>IF(A233="","",B233*'Loan EMI'!$B$9)</f>
        <v>3241.510019</v>
      </c>
      <c r="E233" s="13">
        <f t="shared" si="1"/>
        <v>40149.65165</v>
      </c>
      <c r="F233" s="13">
        <f t="shared" si="2"/>
        <v>417475.2922</v>
      </c>
    </row>
    <row r="234" ht="15.75" customHeight="1">
      <c r="A234" s="10">
        <f>IF(231&lt;='Loan EMI'!$B$10,231,"")</f>
        <v>231</v>
      </c>
      <c r="B234" s="13">
        <f t="shared" si="3"/>
        <v>417475.2922</v>
      </c>
      <c r="C234" s="13">
        <f>IF(A234="","",'Loan EMI'!$B$11)</f>
        <v>43391.16167</v>
      </c>
      <c r="D234" s="13">
        <f>IF(A234="","",B234*'Loan EMI'!$B$9)</f>
        <v>2957.116653</v>
      </c>
      <c r="E234" s="13">
        <f t="shared" si="1"/>
        <v>40434.04502</v>
      </c>
      <c r="F234" s="13">
        <f t="shared" si="2"/>
        <v>377041.2472</v>
      </c>
    </row>
    <row r="235" ht="15.75" customHeight="1">
      <c r="A235" s="10">
        <f>IF(232&lt;='Loan EMI'!$B$10,232,"")</f>
        <v>232</v>
      </c>
      <c r="B235" s="13">
        <f t="shared" si="3"/>
        <v>377041.2472</v>
      </c>
      <c r="C235" s="13">
        <f>IF(A235="","",'Loan EMI'!$B$11)</f>
        <v>43391.16167</v>
      </c>
      <c r="D235" s="13">
        <f>IF(A235="","",B235*'Loan EMI'!$B$9)</f>
        <v>2670.708834</v>
      </c>
      <c r="E235" s="13">
        <f t="shared" si="1"/>
        <v>40720.45283</v>
      </c>
      <c r="F235" s="13">
        <f t="shared" si="2"/>
        <v>336320.7943</v>
      </c>
    </row>
    <row r="236" ht="15.75" customHeight="1">
      <c r="A236" s="10">
        <f>IF(233&lt;='Loan EMI'!$B$10,233,"")</f>
        <v>233</v>
      </c>
      <c r="B236" s="13">
        <f t="shared" si="3"/>
        <v>336320.7943</v>
      </c>
      <c r="C236" s="13">
        <f>IF(A236="","",'Loan EMI'!$B$11)</f>
        <v>43391.16167</v>
      </c>
      <c r="D236" s="13">
        <f>IF(A236="","",B236*'Loan EMI'!$B$9)</f>
        <v>2382.272293</v>
      </c>
      <c r="E236" s="13">
        <f t="shared" si="1"/>
        <v>41008.88938</v>
      </c>
      <c r="F236" s="13">
        <f t="shared" si="2"/>
        <v>295311.905</v>
      </c>
    </row>
    <row r="237" ht="15.75" customHeight="1">
      <c r="A237" s="10">
        <f>IF(234&lt;='Loan EMI'!$B$10,234,"")</f>
        <v>234</v>
      </c>
      <c r="B237" s="13">
        <f t="shared" si="3"/>
        <v>295311.905</v>
      </c>
      <c r="C237" s="13">
        <f>IF(A237="","",'Loan EMI'!$B$11)</f>
        <v>43391.16167</v>
      </c>
      <c r="D237" s="13">
        <f>IF(A237="","",B237*'Loan EMI'!$B$9)</f>
        <v>2091.79266</v>
      </c>
      <c r="E237" s="13">
        <f t="shared" si="1"/>
        <v>41299.36901</v>
      </c>
      <c r="F237" s="13">
        <f t="shared" si="2"/>
        <v>254012.5359</v>
      </c>
    </row>
    <row r="238" ht="15.75" customHeight="1">
      <c r="A238" s="10">
        <f>IF(235&lt;='Loan EMI'!$B$10,235,"")</f>
        <v>235</v>
      </c>
      <c r="B238" s="13">
        <f t="shared" si="3"/>
        <v>254012.5359</v>
      </c>
      <c r="C238" s="13">
        <f>IF(A238="","",'Loan EMI'!$B$11)</f>
        <v>43391.16167</v>
      </c>
      <c r="D238" s="13">
        <f>IF(A238="","",B238*'Loan EMI'!$B$9)</f>
        <v>1799.255463</v>
      </c>
      <c r="E238" s="13">
        <f t="shared" si="1"/>
        <v>41591.90621</v>
      </c>
      <c r="F238" s="13">
        <f t="shared" si="2"/>
        <v>212420.6297</v>
      </c>
    </row>
    <row r="239" ht="15.75" customHeight="1">
      <c r="A239" s="10">
        <f>IF(236&lt;='Loan EMI'!$B$10,236,"")</f>
        <v>236</v>
      </c>
      <c r="B239" s="13">
        <f t="shared" si="3"/>
        <v>212420.6297</v>
      </c>
      <c r="C239" s="13">
        <f>IF(A239="","",'Loan EMI'!$B$11)</f>
        <v>43391.16167</v>
      </c>
      <c r="D239" s="13">
        <f>IF(A239="","",B239*'Loan EMI'!$B$9)</f>
        <v>1504.646127</v>
      </c>
      <c r="E239" s="13">
        <f t="shared" si="1"/>
        <v>41886.51554</v>
      </c>
      <c r="F239" s="13">
        <f t="shared" si="2"/>
        <v>170534.1142</v>
      </c>
    </row>
    <row r="240" ht="15.75" customHeight="1">
      <c r="A240" s="10">
        <f>IF(237&lt;='Loan EMI'!$B$10,237,"")</f>
        <v>237</v>
      </c>
      <c r="B240" s="13">
        <f t="shared" si="3"/>
        <v>170534.1142</v>
      </c>
      <c r="C240" s="13">
        <f>IF(A240="","",'Loan EMI'!$B$11)</f>
        <v>43391.16167</v>
      </c>
      <c r="D240" s="13">
        <f>IF(A240="","",B240*'Loan EMI'!$B$9)</f>
        <v>1207.949976</v>
      </c>
      <c r="E240" s="13">
        <f t="shared" si="1"/>
        <v>42183.21169</v>
      </c>
      <c r="F240" s="13">
        <f t="shared" si="2"/>
        <v>128350.9025</v>
      </c>
    </row>
    <row r="241" ht="15.75" customHeight="1">
      <c r="A241" s="10">
        <f>IF(238&lt;='Loan EMI'!$B$10,238,"")</f>
        <v>238</v>
      </c>
      <c r="B241" s="13">
        <f t="shared" si="3"/>
        <v>128350.9025</v>
      </c>
      <c r="C241" s="13">
        <f>IF(A241="","",'Loan EMI'!$B$11)</f>
        <v>43391.16167</v>
      </c>
      <c r="D241" s="13">
        <f>IF(A241="","",B241*'Loan EMI'!$B$9)</f>
        <v>909.1522261</v>
      </c>
      <c r="E241" s="13">
        <f t="shared" si="1"/>
        <v>42482.00944</v>
      </c>
      <c r="F241" s="13">
        <f t="shared" si="2"/>
        <v>85868.89306</v>
      </c>
    </row>
    <row r="242" ht="15.75" customHeight="1">
      <c r="A242" s="10">
        <f>IF(239&lt;='Loan EMI'!$B$10,239,"")</f>
        <v>239</v>
      </c>
      <c r="B242" s="13">
        <f t="shared" si="3"/>
        <v>85868.89306</v>
      </c>
      <c r="C242" s="13">
        <f>IF(A242="","",'Loan EMI'!$B$11)</f>
        <v>43391.16167</v>
      </c>
      <c r="D242" s="13">
        <f>IF(A242="","",B242*'Loan EMI'!$B$9)</f>
        <v>608.2379925</v>
      </c>
      <c r="E242" s="13">
        <f t="shared" si="1"/>
        <v>42782.92368</v>
      </c>
      <c r="F242" s="13">
        <f t="shared" si="2"/>
        <v>43085.96939</v>
      </c>
    </row>
    <row r="243" ht="15.75" customHeight="1">
      <c r="A243" s="10">
        <f>IF(240&lt;='Loan EMI'!$B$10,240,"")</f>
        <v>240</v>
      </c>
      <c r="B243" s="13">
        <f t="shared" si="3"/>
        <v>43085.96939</v>
      </c>
      <c r="C243" s="13">
        <f>IF(A243="","",'Loan EMI'!$B$11)</f>
        <v>43391.16167</v>
      </c>
      <c r="D243" s="13">
        <f>IF(A243="","",B243*'Loan EMI'!$B$9)</f>
        <v>305.1922831</v>
      </c>
      <c r="E243" s="13">
        <f t="shared" si="1"/>
        <v>43085.96939</v>
      </c>
      <c r="F243" s="13">
        <f t="shared" si="2"/>
        <v>0</v>
      </c>
    </row>
    <row r="244" ht="15.75" customHeight="1">
      <c r="A244" s="10" t="str">
        <f>IF(241&lt;='Loan EMI'!$B$10,241,"")</f>
        <v/>
      </c>
      <c r="B244" s="13" t="str">
        <f t="shared" si="3"/>
        <v/>
      </c>
      <c r="C244" s="13" t="str">
        <f>IF(A244="","",'Loan EMI'!$B$11)</f>
        <v/>
      </c>
      <c r="D244" s="13" t="str">
        <f>IF(A244="","",B244*'Loan EMI'!$B$9)</f>
        <v/>
      </c>
      <c r="E244" s="13" t="str">
        <f t="shared" si="1"/>
        <v/>
      </c>
      <c r="F244" s="13" t="str">
        <f t="shared" si="2"/>
        <v/>
      </c>
    </row>
    <row r="245" ht="15.75" customHeight="1">
      <c r="A245" s="10" t="str">
        <f>IF(242&lt;='Loan EMI'!$B$10,242,"")</f>
        <v/>
      </c>
      <c r="B245" s="13" t="str">
        <f t="shared" si="3"/>
        <v/>
      </c>
      <c r="C245" s="13" t="str">
        <f>IF(A245="","",'Loan EMI'!$B$11)</f>
        <v/>
      </c>
      <c r="D245" s="13" t="str">
        <f>IF(A245="","",B245*'Loan EMI'!$B$9)</f>
        <v/>
      </c>
      <c r="E245" s="13" t="str">
        <f t="shared" si="1"/>
        <v/>
      </c>
      <c r="F245" s="13" t="str">
        <f t="shared" si="2"/>
        <v/>
      </c>
    </row>
    <row r="246" ht="15.75" customHeight="1">
      <c r="A246" s="10" t="str">
        <f>IF(243&lt;='Loan EMI'!$B$10,243,"")</f>
        <v/>
      </c>
      <c r="B246" s="13" t="str">
        <f t="shared" si="3"/>
        <v/>
      </c>
      <c r="C246" s="13" t="str">
        <f>IF(A246="","",'Loan EMI'!$B$11)</f>
        <v/>
      </c>
      <c r="D246" s="13" t="str">
        <f>IF(A246="","",B246*'Loan EMI'!$B$9)</f>
        <v/>
      </c>
      <c r="E246" s="13" t="str">
        <f t="shared" si="1"/>
        <v/>
      </c>
      <c r="F246" s="13" t="str">
        <f t="shared" si="2"/>
        <v/>
      </c>
    </row>
    <row r="247" ht="15.75" customHeight="1">
      <c r="A247" s="10" t="str">
        <f>IF(244&lt;='Loan EMI'!$B$10,244,"")</f>
        <v/>
      </c>
      <c r="B247" s="13" t="str">
        <f t="shared" si="3"/>
        <v/>
      </c>
      <c r="C247" s="13" t="str">
        <f>IF(A247="","",'Loan EMI'!$B$11)</f>
        <v/>
      </c>
      <c r="D247" s="13" t="str">
        <f>IF(A247="","",B247*'Loan EMI'!$B$9)</f>
        <v/>
      </c>
      <c r="E247" s="13" t="str">
        <f t="shared" si="1"/>
        <v/>
      </c>
      <c r="F247" s="13" t="str">
        <f t="shared" si="2"/>
        <v/>
      </c>
    </row>
    <row r="248" ht="15.75" customHeight="1">
      <c r="A248" s="10" t="str">
        <f>IF(245&lt;='Loan EMI'!$B$10,245,"")</f>
        <v/>
      </c>
      <c r="B248" s="13" t="str">
        <f t="shared" si="3"/>
        <v/>
      </c>
      <c r="C248" s="13" t="str">
        <f>IF(A248="","",'Loan EMI'!$B$11)</f>
        <v/>
      </c>
      <c r="D248" s="13" t="str">
        <f>IF(A248="","",B248*'Loan EMI'!$B$9)</f>
        <v/>
      </c>
      <c r="E248" s="13" t="str">
        <f t="shared" si="1"/>
        <v/>
      </c>
      <c r="F248" s="13" t="str">
        <f t="shared" si="2"/>
        <v/>
      </c>
    </row>
    <row r="249" ht="15.75" customHeight="1">
      <c r="A249" s="10" t="str">
        <f>IF(246&lt;='Loan EMI'!$B$10,246,"")</f>
        <v/>
      </c>
      <c r="B249" s="13" t="str">
        <f t="shared" si="3"/>
        <v/>
      </c>
      <c r="C249" s="13" t="str">
        <f>IF(A249="","",'Loan EMI'!$B$11)</f>
        <v/>
      </c>
      <c r="D249" s="13" t="str">
        <f>IF(A249="","",B249*'Loan EMI'!$B$9)</f>
        <v/>
      </c>
      <c r="E249" s="13" t="str">
        <f t="shared" si="1"/>
        <v/>
      </c>
      <c r="F249" s="13" t="str">
        <f t="shared" si="2"/>
        <v/>
      </c>
    </row>
    <row r="250" ht="15.75" customHeight="1">
      <c r="A250" s="10" t="str">
        <f>IF(247&lt;='Loan EMI'!$B$10,247,"")</f>
        <v/>
      </c>
      <c r="B250" s="13" t="str">
        <f t="shared" si="3"/>
        <v/>
      </c>
      <c r="C250" s="13" t="str">
        <f>IF(A250="","",'Loan EMI'!$B$11)</f>
        <v/>
      </c>
      <c r="D250" s="13" t="str">
        <f>IF(A250="","",B250*'Loan EMI'!$B$9)</f>
        <v/>
      </c>
      <c r="E250" s="13" t="str">
        <f t="shared" si="1"/>
        <v/>
      </c>
      <c r="F250" s="13" t="str">
        <f t="shared" si="2"/>
        <v/>
      </c>
    </row>
    <row r="251" ht="15.75" customHeight="1">
      <c r="A251" s="10" t="str">
        <f>IF(248&lt;='Loan EMI'!$B$10,248,"")</f>
        <v/>
      </c>
      <c r="B251" s="13" t="str">
        <f t="shared" si="3"/>
        <v/>
      </c>
      <c r="C251" s="13" t="str">
        <f>IF(A251="","",'Loan EMI'!$B$11)</f>
        <v/>
      </c>
      <c r="D251" s="13" t="str">
        <f>IF(A251="","",B251*'Loan EMI'!$B$9)</f>
        <v/>
      </c>
      <c r="E251" s="13" t="str">
        <f t="shared" si="1"/>
        <v/>
      </c>
      <c r="F251" s="13" t="str">
        <f t="shared" si="2"/>
        <v/>
      </c>
    </row>
    <row r="252" ht="15.75" customHeight="1">
      <c r="A252" s="10" t="str">
        <f>IF(249&lt;='Loan EMI'!$B$10,249,"")</f>
        <v/>
      </c>
      <c r="B252" s="13" t="str">
        <f t="shared" si="3"/>
        <v/>
      </c>
      <c r="C252" s="13" t="str">
        <f>IF(A252="","",'Loan EMI'!$B$11)</f>
        <v/>
      </c>
      <c r="D252" s="13" t="str">
        <f>IF(A252="","",B252*'Loan EMI'!$B$9)</f>
        <v/>
      </c>
      <c r="E252" s="13" t="str">
        <f t="shared" si="1"/>
        <v/>
      </c>
      <c r="F252" s="13" t="str">
        <f t="shared" si="2"/>
        <v/>
      </c>
    </row>
    <row r="253" ht="15.75" customHeight="1">
      <c r="A253" s="10" t="str">
        <f>IF(250&lt;='Loan EMI'!$B$10,250,"")</f>
        <v/>
      </c>
      <c r="B253" s="13" t="str">
        <f t="shared" si="3"/>
        <v/>
      </c>
      <c r="C253" s="13" t="str">
        <f>IF(A253="","",'Loan EMI'!$B$11)</f>
        <v/>
      </c>
      <c r="D253" s="13" t="str">
        <f>IF(A253="","",B253*'Loan EMI'!$B$9)</f>
        <v/>
      </c>
      <c r="E253" s="13" t="str">
        <f t="shared" si="1"/>
        <v/>
      </c>
      <c r="F253" s="13" t="str">
        <f t="shared" si="2"/>
        <v/>
      </c>
    </row>
    <row r="254" ht="15.75" customHeight="1">
      <c r="A254" s="10" t="str">
        <f>IF(251&lt;='Loan EMI'!$B$10,251,"")</f>
        <v/>
      </c>
      <c r="B254" s="13" t="str">
        <f t="shared" si="3"/>
        <v/>
      </c>
      <c r="C254" s="13" t="str">
        <f>IF(A254="","",'Loan EMI'!$B$11)</f>
        <v/>
      </c>
      <c r="D254" s="13" t="str">
        <f>IF(A254="","",B254*'Loan EMI'!$B$9)</f>
        <v/>
      </c>
      <c r="E254" s="13" t="str">
        <f t="shared" si="1"/>
        <v/>
      </c>
      <c r="F254" s="13" t="str">
        <f t="shared" si="2"/>
        <v/>
      </c>
    </row>
    <row r="255" ht="15.75" customHeight="1">
      <c r="A255" s="10" t="str">
        <f>IF(252&lt;='Loan EMI'!$B$10,252,"")</f>
        <v/>
      </c>
      <c r="B255" s="13" t="str">
        <f t="shared" si="3"/>
        <v/>
      </c>
      <c r="C255" s="13" t="str">
        <f>IF(A255="","",'Loan EMI'!$B$11)</f>
        <v/>
      </c>
      <c r="D255" s="13" t="str">
        <f>IF(A255="","",B255*'Loan EMI'!$B$9)</f>
        <v/>
      </c>
      <c r="E255" s="13" t="str">
        <f t="shared" si="1"/>
        <v/>
      </c>
      <c r="F255" s="13" t="str">
        <f t="shared" si="2"/>
        <v/>
      </c>
    </row>
    <row r="256" ht="15.75" customHeight="1">
      <c r="A256" s="10" t="str">
        <f>IF(253&lt;='Loan EMI'!$B$10,253,"")</f>
        <v/>
      </c>
      <c r="B256" s="13" t="str">
        <f t="shared" si="3"/>
        <v/>
      </c>
      <c r="C256" s="13" t="str">
        <f>IF(A256="","",'Loan EMI'!$B$11)</f>
        <v/>
      </c>
      <c r="D256" s="13" t="str">
        <f>IF(A256="","",B256*'Loan EMI'!$B$9)</f>
        <v/>
      </c>
      <c r="E256" s="13" t="str">
        <f t="shared" si="1"/>
        <v/>
      </c>
      <c r="F256" s="13" t="str">
        <f t="shared" si="2"/>
        <v/>
      </c>
    </row>
    <row r="257" ht="15.75" customHeight="1">
      <c r="A257" s="10" t="str">
        <f>IF(254&lt;='Loan EMI'!$B$10,254,"")</f>
        <v/>
      </c>
      <c r="B257" s="13" t="str">
        <f t="shared" si="3"/>
        <v/>
      </c>
      <c r="C257" s="13" t="str">
        <f>IF(A257="","",'Loan EMI'!$B$11)</f>
        <v/>
      </c>
      <c r="D257" s="13" t="str">
        <f>IF(A257="","",B257*'Loan EMI'!$B$9)</f>
        <v/>
      </c>
      <c r="E257" s="13" t="str">
        <f t="shared" si="1"/>
        <v/>
      </c>
      <c r="F257" s="13" t="str">
        <f t="shared" si="2"/>
        <v/>
      </c>
    </row>
    <row r="258" ht="15.75" customHeight="1">
      <c r="A258" s="10" t="str">
        <f>IF(255&lt;='Loan EMI'!$B$10,255,"")</f>
        <v/>
      </c>
      <c r="B258" s="13" t="str">
        <f t="shared" si="3"/>
        <v/>
      </c>
      <c r="C258" s="13" t="str">
        <f>IF(A258="","",'Loan EMI'!$B$11)</f>
        <v/>
      </c>
      <c r="D258" s="13" t="str">
        <f>IF(A258="","",B258*'Loan EMI'!$B$9)</f>
        <v/>
      </c>
      <c r="E258" s="13" t="str">
        <f t="shared" si="1"/>
        <v/>
      </c>
      <c r="F258" s="13" t="str">
        <f t="shared" si="2"/>
        <v/>
      </c>
    </row>
    <row r="259" ht="15.75" customHeight="1">
      <c r="A259" s="10" t="str">
        <f>IF(256&lt;='Loan EMI'!$B$10,256,"")</f>
        <v/>
      </c>
      <c r="B259" s="13" t="str">
        <f t="shared" si="3"/>
        <v/>
      </c>
      <c r="C259" s="13" t="str">
        <f>IF(A259="","",'Loan EMI'!$B$11)</f>
        <v/>
      </c>
      <c r="D259" s="13" t="str">
        <f>IF(A259="","",B259*'Loan EMI'!$B$9)</f>
        <v/>
      </c>
      <c r="E259" s="13" t="str">
        <f t="shared" si="1"/>
        <v/>
      </c>
      <c r="F259" s="13" t="str">
        <f t="shared" si="2"/>
        <v/>
      </c>
    </row>
    <row r="260" ht="15.75" customHeight="1">
      <c r="A260" s="10" t="str">
        <f>IF(257&lt;='Loan EMI'!$B$10,257,"")</f>
        <v/>
      </c>
      <c r="B260" s="13" t="str">
        <f t="shared" si="3"/>
        <v/>
      </c>
      <c r="C260" s="13" t="str">
        <f>IF(A260="","",'Loan EMI'!$B$11)</f>
        <v/>
      </c>
      <c r="D260" s="13" t="str">
        <f>IF(A260="","",B260*'Loan EMI'!$B$9)</f>
        <v/>
      </c>
      <c r="E260" s="13" t="str">
        <f t="shared" si="1"/>
        <v/>
      </c>
      <c r="F260" s="13" t="str">
        <f t="shared" si="2"/>
        <v/>
      </c>
    </row>
    <row r="261" ht="15.75" customHeight="1">
      <c r="A261" s="10" t="str">
        <f>IF(258&lt;='Loan EMI'!$B$10,258,"")</f>
        <v/>
      </c>
      <c r="B261" s="13" t="str">
        <f t="shared" si="3"/>
        <v/>
      </c>
      <c r="C261" s="13" t="str">
        <f>IF(A261="","",'Loan EMI'!$B$11)</f>
        <v/>
      </c>
      <c r="D261" s="13" t="str">
        <f>IF(A261="","",B261*'Loan EMI'!$B$9)</f>
        <v/>
      </c>
      <c r="E261" s="13" t="str">
        <f t="shared" si="1"/>
        <v/>
      </c>
      <c r="F261" s="13" t="str">
        <f t="shared" si="2"/>
        <v/>
      </c>
    </row>
    <row r="262" ht="15.75" customHeight="1">
      <c r="A262" s="10" t="str">
        <f>IF(259&lt;='Loan EMI'!$B$10,259,"")</f>
        <v/>
      </c>
      <c r="B262" s="13" t="str">
        <f t="shared" si="3"/>
        <v/>
      </c>
      <c r="C262" s="13" t="str">
        <f>IF(A262="","",'Loan EMI'!$B$11)</f>
        <v/>
      </c>
      <c r="D262" s="13" t="str">
        <f>IF(A262="","",B262*'Loan EMI'!$B$9)</f>
        <v/>
      </c>
      <c r="E262" s="13" t="str">
        <f t="shared" si="1"/>
        <v/>
      </c>
      <c r="F262" s="13" t="str">
        <f t="shared" si="2"/>
        <v/>
      </c>
    </row>
    <row r="263" ht="15.75" customHeight="1">
      <c r="A263" s="10" t="str">
        <f>IF(260&lt;='Loan EMI'!$B$10,260,"")</f>
        <v/>
      </c>
      <c r="B263" s="13" t="str">
        <f t="shared" si="3"/>
        <v/>
      </c>
      <c r="C263" s="13" t="str">
        <f>IF(A263="","",'Loan EMI'!$B$11)</f>
        <v/>
      </c>
      <c r="D263" s="13" t="str">
        <f>IF(A263="","",B263*'Loan EMI'!$B$9)</f>
        <v/>
      </c>
      <c r="E263" s="13" t="str">
        <f t="shared" si="1"/>
        <v/>
      </c>
      <c r="F263" s="13" t="str">
        <f t="shared" si="2"/>
        <v/>
      </c>
    </row>
    <row r="264" ht="15.75" customHeight="1">
      <c r="A264" s="10" t="str">
        <f>IF(261&lt;='Loan EMI'!$B$10,261,"")</f>
        <v/>
      </c>
      <c r="B264" s="13" t="str">
        <f t="shared" si="3"/>
        <v/>
      </c>
      <c r="C264" s="13" t="str">
        <f>IF(A264="","",'Loan EMI'!$B$11)</f>
        <v/>
      </c>
      <c r="D264" s="13" t="str">
        <f>IF(A264="","",B264*'Loan EMI'!$B$9)</f>
        <v/>
      </c>
      <c r="E264" s="13" t="str">
        <f t="shared" si="1"/>
        <v/>
      </c>
      <c r="F264" s="13" t="str">
        <f t="shared" si="2"/>
        <v/>
      </c>
    </row>
    <row r="265" ht="15.75" customHeight="1">
      <c r="A265" s="10" t="str">
        <f>IF(262&lt;='Loan EMI'!$B$10,262,"")</f>
        <v/>
      </c>
      <c r="B265" s="13" t="str">
        <f t="shared" si="3"/>
        <v/>
      </c>
      <c r="C265" s="13" t="str">
        <f>IF(A265="","",'Loan EMI'!$B$11)</f>
        <v/>
      </c>
      <c r="D265" s="13" t="str">
        <f>IF(A265="","",B265*'Loan EMI'!$B$9)</f>
        <v/>
      </c>
      <c r="E265" s="13" t="str">
        <f t="shared" si="1"/>
        <v/>
      </c>
      <c r="F265" s="13" t="str">
        <f t="shared" si="2"/>
        <v/>
      </c>
    </row>
    <row r="266" ht="15.75" customHeight="1">
      <c r="A266" s="10" t="str">
        <f>IF(263&lt;='Loan EMI'!$B$10,263,"")</f>
        <v/>
      </c>
      <c r="B266" s="13" t="str">
        <f t="shared" si="3"/>
        <v/>
      </c>
      <c r="C266" s="13" t="str">
        <f>IF(A266="","",'Loan EMI'!$B$11)</f>
        <v/>
      </c>
      <c r="D266" s="13" t="str">
        <f>IF(A266="","",B266*'Loan EMI'!$B$9)</f>
        <v/>
      </c>
      <c r="E266" s="13" t="str">
        <f t="shared" si="1"/>
        <v/>
      </c>
      <c r="F266" s="13" t="str">
        <f t="shared" si="2"/>
        <v/>
      </c>
    </row>
    <row r="267" ht="15.75" customHeight="1">
      <c r="A267" s="10" t="str">
        <f>IF(264&lt;='Loan EMI'!$B$10,264,"")</f>
        <v/>
      </c>
      <c r="B267" s="13" t="str">
        <f t="shared" si="3"/>
        <v/>
      </c>
      <c r="C267" s="13" t="str">
        <f>IF(A267="","",'Loan EMI'!$B$11)</f>
        <v/>
      </c>
      <c r="D267" s="13" t="str">
        <f>IF(A267="","",B267*'Loan EMI'!$B$9)</f>
        <v/>
      </c>
      <c r="E267" s="13" t="str">
        <f t="shared" si="1"/>
        <v/>
      </c>
      <c r="F267" s="13" t="str">
        <f t="shared" si="2"/>
        <v/>
      </c>
    </row>
    <row r="268" ht="15.75" customHeight="1">
      <c r="A268" s="10" t="str">
        <f>IF(265&lt;='Loan EMI'!$B$10,265,"")</f>
        <v/>
      </c>
      <c r="B268" s="13" t="str">
        <f t="shared" si="3"/>
        <v/>
      </c>
      <c r="C268" s="13" t="str">
        <f>IF(A268="","",'Loan EMI'!$B$11)</f>
        <v/>
      </c>
      <c r="D268" s="13" t="str">
        <f>IF(A268="","",B268*'Loan EMI'!$B$9)</f>
        <v/>
      </c>
      <c r="E268" s="13" t="str">
        <f t="shared" si="1"/>
        <v/>
      </c>
      <c r="F268" s="13" t="str">
        <f t="shared" si="2"/>
        <v/>
      </c>
    </row>
    <row r="269" ht="15.75" customHeight="1">
      <c r="A269" s="10" t="str">
        <f>IF(266&lt;='Loan EMI'!$B$10,266,"")</f>
        <v/>
      </c>
      <c r="B269" s="13" t="str">
        <f t="shared" si="3"/>
        <v/>
      </c>
      <c r="C269" s="13" t="str">
        <f>IF(A269="","",'Loan EMI'!$B$11)</f>
        <v/>
      </c>
      <c r="D269" s="13" t="str">
        <f>IF(A269="","",B269*'Loan EMI'!$B$9)</f>
        <v/>
      </c>
      <c r="E269" s="13" t="str">
        <f t="shared" si="1"/>
        <v/>
      </c>
      <c r="F269" s="13" t="str">
        <f t="shared" si="2"/>
        <v/>
      </c>
    </row>
    <row r="270" ht="15.75" customHeight="1">
      <c r="A270" s="10" t="str">
        <f>IF(267&lt;='Loan EMI'!$B$10,267,"")</f>
        <v/>
      </c>
      <c r="B270" s="13" t="str">
        <f t="shared" si="3"/>
        <v/>
      </c>
      <c r="C270" s="13" t="str">
        <f>IF(A270="","",'Loan EMI'!$B$11)</f>
        <v/>
      </c>
      <c r="D270" s="13" t="str">
        <f>IF(A270="","",B270*'Loan EMI'!$B$9)</f>
        <v/>
      </c>
      <c r="E270" s="13" t="str">
        <f t="shared" si="1"/>
        <v/>
      </c>
      <c r="F270" s="13" t="str">
        <f t="shared" si="2"/>
        <v/>
      </c>
    </row>
    <row r="271" ht="15.75" customHeight="1">
      <c r="A271" s="10" t="str">
        <f>IF(268&lt;='Loan EMI'!$B$10,268,"")</f>
        <v/>
      </c>
      <c r="B271" s="13" t="str">
        <f t="shared" si="3"/>
        <v/>
      </c>
      <c r="C271" s="13" t="str">
        <f>IF(A271="","",'Loan EMI'!$B$11)</f>
        <v/>
      </c>
      <c r="D271" s="13" t="str">
        <f>IF(A271="","",B271*'Loan EMI'!$B$9)</f>
        <v/>
      </c>
      <c r="E271" s="13" t="str">
        <f t="shared" si="1"/>
        <v/>
      </c>
      <c r="F271" s="13" t="str">
        <f t="shared" si="2"/>
        <v/>
      </c>
    </row>
    <row r="272" ht="15.75" customHeight="1">
      <c r="A272" s="10" t="str">
        <f>IF(269&lt;='Loan EMI'!$B$10,269,"")</f>
        <v/>
      </c>
      <c r="B272" s="13" t="str">
        <f t="shared" si="3"/>
        <v/>
      </c>
      <c r="C272" s="13" t="str">
        <f>IF(A272="","",'Loan EMI'!$B$11)</f>
        <v/>
      </c>
      <c r="D272" s="13" t="str">
        <f>IF(A272="","",B272*'Loan EMI'!$B$9)</f>
        <v/>
      </c>
      <c r="E272" s="13" t="str">
        <f t="shared" si="1"/>
        <v/>
      </c>
      <c r="F272" s="13" t="str">
        <f t="shared" si="2"/>
        <v/>
      </c>
    </row>
    <row r="273" ht="15.75" customHeight="1">
      <c r="A273" s="10" t="str">
        <f>IF(270&lt;='Loan EMI'!$B$10,270,"")</f>
        <v/>
      </c>
      <c r="B273" s="13" t="str">
        <f t="shared" si="3"/>
        <v/>
      </c>
      <c r="C273" s="13" t="str">
        <f>IF(A273="","",'Loan EMI'!$B$11)</f>
        <v/>
      </c>
      <c r="D273" s="13" t="str">
        <f>IF(A273="","",B273*'Loan EMI'!$B$9)</f>
        <v/>
      </c>
      <c r="E273" s="13" t="str">
        <f t="shared" si="1"/>
        <v/>
      </c>
      <c r="F273" s="13" t="str">
        <f t="shared" si="2"/>
        <v/>
      </c>
    </row>
    <row r="274" ht="15.75" customHeight="1">
      <c r="A274" s="10" t="str">
        <f>IF(271&lt;='Loan EMI'!$B$10,271,"")</f>
        <v/>
      </c>
      <c r="B274" s="13" t="str">
        <f t="shared" si="3"/>
        <v/>
      </c>
      <c r="C274" s="13" t="str">
        <f>IF(A274="","",'Loan EMI'!$B$11)</f>
        <v/>
      </c>
      <c r="D274" s="13" t="str">
        <f>IF(A274="","",B274*'Loan EMI'!$B$9)</f>
        <v/>
      </c>
      <c r="E274" s="13" t="str">
        <f t="shared" si="1"/>
        <v/>
      </c>
      <c r="F274" s="13" t="str">
        <f t="shared" si="2"/>
        <v/>
      </c>
    </row>
    <row r="275" ht="15.75" customHeight="1">
      <c r="A275" s="10" t="str">
        <f>IF(272&lt;='Loan EMI'!$B$10,272,"")</f>
        <v/>
      </c>
      <c r="B275" s="13" t="str">
        <f t="shared" si="3"/>
        <v/>
      </c>
      <c r="C275" s="13" t="str">
        <f>IF(A275="","",'Loan EMI'!$B$11)</f>
        <v/>
      </c>
      <c r="D275" s="13" t="str">
        <f>IF(A275="","",B275*'Loan EMI'!$B$9)</f>
        <v/>
      </c>
      <c r="E275" s="13" t="str">
        <f t="shared" si="1"/>
        <v/>
      </c>
      <c r="F275" s="13" t="str">
        <f t="shared" si="2"/>
        <v/>
      </c>
    </row>
    <row r="276" ht="15.75" customHeight="1">
      <c r="A276" s="10" t="str">
        <f>IF(273&lt;='Loan EMI'!$B$10,273,"")</f>
        <v/>
      </c>
      <c r="B276" s="13" t="str">
        <f t="shared" si="3"/>
        <v/>
      </c>
      <c r="C276" s="13" t="str">
        <f>IF(A276="","",'Loan EMI'!$B$11)</f>
        <v/>
      </c>
      <c r="D276" s="13" t="str">
        <f>IF(A276="","",B276*'Loan EMI'!$B$9)</f>
        <v/>
      </c>
      <c r="E276" s="13" t="str">
        <f t="shared" si="1"/>
        <v/>
      </c>
      <c r="F276" s="13" t="str">
        <f t="shared" si="2"/>
        <v/>
      </c>
    </row>
    <row r="277" ht="15.75" customHeight="1">
      <c r="A277" s="10" t="str">
        <f>IF(274&lt;='Loan EMI'!$B$10,274,"")</f>
        <v/>
      </c>
      <c r="B277" s="13" t="str">
        <f t="shared" si="3"/>
        <v/>
      </c>
      <c r="C277" s="13" t="str">
        <f>IF(A277="","",'Loan EMI'!$B$11)</f>
        <v/>
      </c>
      <c r="D277" s="13" t="str">
        <f>IF(A277="","",B277*'Loan EMI'!$B$9)</f>
        <v/>
      </c>
      <c r="E277" s="13" t="str">
        <f t="shared" si="1"/>
        <v/>
      </c>
      <c r="F277" s="13" t="str">
        <f t="shared" si="2"/>
        <v/>
      </c>
    </row>
    <row r="278" ht="15.75" customHeight="1">
      <c r="A278" s="10" t="str">
        <f>IF(275&lt;='Loan EMI'!$B$10,275,"")</f>
        <v/>
      </c>
      <c r="B278" s="13" t="str">
        <f t="shared" si="3"/>
        <v/>
      </c>
      <c r="C278" s="13" t="str">
        <f>IF(A278="","",'Loan EMI'!$B$11)</f>
        <v/>
      </c>
      <c r="D278" s="13" t="str">
        <f>IF(A278="","",B278*'Loan EMI'!$B$9)</f>
        <v/>
      </c>
      <c r="E278" s="13" t="str">
        <f t="shared" si="1"/>
        <v/>
      </c>
      <c r="F278" s="13" t="str">
        <f t="shared" si="2"/>
        <v/>
      </c>
    </row>
    <row r="279" ht="15.75" customHeight="1">
      <c r="A279" s="10" t="str">
        <f>IF(276&lt;='Loan EMI'!$B$10,276,"")</f>
        <v/>
      </c>
      <c r="B279" s="13" t="str">
        <f t="shared" si="3"/>
        <v/>
      </c>
      <c r="C279" s="13" t="str">
        <f>IF(A279="","",'Loan EMI'!$B$11)</f>
        <v/>
      </c>
      <c r="D279" s="13" t="str">
        <f>IF(A279="","",B279*'Loan EMI'!$B$9)</f>
        <v/>
      </c>
      <c r="E279" s="13" t="str">
        <f t="shared" si="1"/>
        <v/>
      </c>
      <c r="F279" s="13" t="str">
        <f t="shared" si="2"/>
        <v/>
      </c>
    </row>
    <row r="280" ht="15.75" customHeight="1">
      <c r="A280" s="10" t="str">
        <f>IF(277&lt;='Loan EMI'!$B$10,277,"")</f>
        <v/>
      </c>
      <c r="B280" s="13" t="str">
        <f t="shared" si="3"/>
        <v/>
      </c>
      <c r="C280" s="13" t="str">
        <f>IF(A280="","",'Loan EMI'!$B$11)</f>
        <v/>
      </c>
      <c r="D280" s="13" t="str">
        <f>IF(A280="","",B280*'Loan EMI'!$B$9)</f>
        <v/>
      </c>
      <c r="E280" s="13" t="str">
        <f t="shared" si="1"/>
        <v/>
      </c>
      <c r="F280" s="13" t="str">
        <f t="shared" si="2"/>
        <v/>
      </c>
    </row>
    <row r="281" ht="15.75" customHeight="1">
      <c r="A281" s="10" t="str">
        <f>IF(278&lt;='Loan EMI'!$B$10,278,"")</f>
        <v/>
      </c>
      <c r="B281" s="13" t="str">
        <f t="shared" si="3"/>
        <v/>
      </c>
      <c r="C281" s="13" t="str">
        <f>IF(A281="","",'Loan EMI'!$B$11)</f>
        <v/>
      </c>
      <c r="D281" s="13" t="str">
        <f>IF(A281="","",B281*'Loan EMI'!$B$9)</f>
        <v/>
      </c>
      <c r="E281" s="13" t="str">
        <f t="shared" si="1"/>
        <v/>
      </c>
      <c r="F281" s="13" t="str">
        <f t="shared" si="2"/>
        <v/>
      </c>
    </row>
    <row r="282" ht="15.75" customHeight="1">
      <c r="A282" s="10" t="str">
        <f>IF(279&lt;='Loan EMI'!$B$10,279,"")</f>
        <v/>
      </c>
      <c r="B282" s="13" t="str">
        <f t="shared" si="3"/>
        <v/>
      </c>
      <c r="C282" s="13" t="str">
        <f>IF(A282="","",'Loan EMI'!$B$11)</f>
        <v/>
      </c>
      <c r="D282" s="13" t="str">
        <f>IF(A282="","",B282*'Loan EMI'!$B$9)</f>
        <v/>
      </c>
      <c r="E282" s="13" t="str">
        <f t="shared" si="1"/>
        <v/>
      </c>
      <c r="F282" s="13" t="str">
        <f t="shared" si="2"/>
        <v/>
      </c>
    </row>
    <row r="283" ht="15.75" customHeight="1">
      <c r="A283" s="10" t="str">
        <f>IF(280&lt;='Loan EMI'!$B$10,280,"")</f>
        <v/>
      </c>
      <c r="B283" s="13" t="str">
        <f t="shared" si="3"/>
        <v/>
      </c>
      <c r="C283" s="13" t="str">
        <f>IF(A283="","",'Loan EMI'!$B$11)</f>
        <v/>
      </c>
      <c r="D283" s="13" t="str">
        <f>IF(A283="","",B283*'Loan EMI'!$B$9)</f>
        <v/>
      </c>
      <c r="E283" s="13" t="str">
        <f t="shared" si="1"/>
        <v/>
      </c>
      <c r="F283" s="13" t="str">
        <f t="shared" si="2"/>
        <v/>
      </c>
    </row>
    <row r="284" ht="15.75" customHeight="1">
      <c r="A284" s="10" t="str">
        <f>IF(281&lt;='Loan EMI'!$B$10,281,"")</f>
        <v/>
      </c>
      <c r="B284" s="13" t="str">
        <f t="shared" si="3"/>
        <v/>
      </c>
      <c r="C284" s="13" t="str">
        <f>IF(A284="","",'Loan EMI'!$B$11)</f>
        <v/>
      </c>
      <c r="D284" s="13" t="str">
        <f>IF(A284="","",B284*'Loan EMI'!$B$9)</f>
        <v/>
      </c>
      <c r="E284" s="13" t="str">
        <f t="shared" si="1"/>
        <v/>
      </c>
      <c r="F284" s="13" t="str">
        <f t="shared" si="2"/>
        <v/>
      </c>
    </row>
    <row r="285" ht="15.75" customHeight="1">
      <c r="A285" s="10" t="str">
        <f>IF(282&lt;='Loan EMI'!$B$10,282,"")</f>
        <v/>
      </c>
      <c r="B285" s="13" t="str">
        <f t="shared" si="3"/>
        <v/>
      </c>
      <c r="C285" s="13" t="str">
        <f>IF(A285="","",'Loan EMI'!$B$11)</f>
        <v/>
      </c>
      <c r="D285" s="13" t="str">
        <f>IF(A285="","",B285*'Loan EMI'!$B$9)</f>
        <v/>
      </c>
      <c r="E285" s="13" t="str">
        <f t="shared" si="1"/>
        <v/>
      </c>
      <c r="F285" s="13" t="str">
        <f t="shared" si="2"/>
        <v/>
      </c>
    </row>
    <row r="286" ht="15.75" customHeight="1">
      <c r="A286" s="10" t="str">
        <f>IF(283&lt;='Loan EMI'!$B$10,283,"")</f>
        <v/>
      </c>
      <c r="B286" s="13" t="str">
        <f t="shared" si="3"/>
        <v/>
      </c>
      <c r="C286" s="13" t="str">
        <f>IF(A286="","",'Loan EMI'!$B$11)</f>
        <v/>
      </c>
      <c r="D286" s="13" t="str">
        <f>IF(A286="","",B286*'Loan EMI'!$B$9)</f>
        <v/>
      </c>
      <c r="E286" s="13" t="str">
        <f t="shared" si="1"/>
        <v/>
      </c>
      <c r="F286" s="13" t="str">
        <f t="shared" si="2"/>
        <v/>
      </c>
    </row>
    <row r="287" ht="15.75" customHeight="1">
      <c r="A287" s="10" t="str">
        <f>IF(284&lt;='Loan EMI'!$B$10,284,"")</f>
        <v/>
      </c>
      <c r="B287" s="13" t="str">
        <f t="shared" si="3"/>
        <v/>
      </c>
      <c r="C287" s="13" t="str">
        <f>IF(A287="","",'Loan EMI'!$B$11)</f>
        <v/>
      </c>
      <c r="D287" s="13" t="str">
        <f>IF(A287="","",B287*'Loan EMI'!$B$9)</f>
        <v/>
      </c>
      <c r="E287" s="13" t="str">
        <f t="shared" si="1"/>
        <v/>
      </c>
      <c r="F287" s="13" t="str">
        <f t="shared" si="2"/>
        <v/>
      </c>
    </row>
    <row r="288" ht="15.75" customHeight="1">
      <c r="A288" s="10" t="str">
        <f>IF(285&lt;='Loan EMI'!$B$10,285,"")</f>
        <v/>
      </c>
      <c r="B288" s="13" t="str">
        <f t="shared" si="3"/>
        <v/>
      </c>
      <c r="C288" s="13" t="str">
        <f>IF(A288="","",'Loan EMI'!$B$11)</f>
        <v/>
      </c>
      <c r="D288" s="13" t="str">
        <f>IF(A288="","",B288*'Loan EMI'!$B$9)</f>
        <v/>
      </c>
      <c r="E288" s="13" t="str">
        <f t="shared" si="1"/>
        <v/>
      </c>
      <c r="F288" s="13" t="str">
        <f t="shared" si="2"/>
        <v/>
      </c>
    </row>
    <row r="289" ht="15.75" customHeight="1">
      <c r="A289" s="10" t="str">
        <f>IF(286&lt;='Loan EMI'!$B$10,286,"")</f>
        <v/>
      </c>
      <c r="B289" s="13" t="str">
        <f t="shared" si="3"/>
        <v/>
      </c>
      <c r="C289" s="13" t="str">
        <f>IF(A289="","",'Loan EMI'!$B$11)</f>
        <v/>
      </c>
      <c r="D289" s="13" t="str">
        <f>IF(A289="","",B289*'Loan EMI'!$B$9)</f>
        <v/>
      </c>
      <c r="E289" s="13" t="str">
        <f t="shared" si="1"/>
        <v/>
      </c>
      <c r="F289" s="13" t="str">
        <f t="shared" si="2"/>
        <v/>
      </c>
    </row>
    <row r="290" ht="15.75" customHeight="1">
      <c r="A290" s="10" t="str">
        <f>IF(287&lt;='Loan EMI'!$B$10,287,"")</f>
        <v/>
      </c>
      <c r="B290" s="13" t="str">
        <f t="shared" si="3"/>
        <v/>
      </c>
      <c r="C290" s="13" t="str">
        <f>IF(A290="","",'Loan EMI'!$B$11)</f>
        <v/>
      </c>
      <c r="D290" s="13" t="str">
        <f>IF(A290="","",B290*'Loan EMI'!$B$9)</f>
        <v/>
      </c>
      <c r="E290" s="13" t="str">
        <f t="shared" si="1"/>
        <v/>
      </c>
      <c r="F290" s="13" t="str">
        <f t="shared" si="2"/>
        <v/>
      </c>
    </row>
    <row r="291" ht="15.75" customHeight="1">
      <c r="A291" s="10" t="str">
        <f>IF(288&lt;='Loan EMI'!$B$10,288,"")</f>
        <v/>
      </c>
      <c r="B291" s="13" t="str">
        <f t="shared" si="3"/>
        <v/>
      </c>
      <c r="C291" s="13" t="str">
        <f>IF(A291="","",'Loan EMI'!$B$11)</f>
        <v/>
      </c>
      <c r="D291" s="13" t="str">
        <f>IF(A291="","",B291*'Loan EMI'!$B$9)</f>
        <v/>
      </c>
      <c r="E291" s="13" t="str">
        <f t="shared" si="1"/>
        <v/>
      </c>
      <c r="F291" s="13" t="str">
        <f t="shared" si="2"/>
        <v/>
      </c>
    </row>
    <row r="292" ht="15.75" customHeight="1">
      <c r="A292" s="10" t="str">
        <f>IF(289&lt;='Loan EMI'!$B$10,289,"")</f>
        <v/>
      </c>
      <c r="B292" s="13" t="str">
        <f t="shared" si="3"/>
        <v/>
      </c>
      <c r="C292" s="13" t="str">
        <f>IF(A292="","",'Loan EMI'!$B$11)</f>
        <v/>
      </c>
      <c r="D292" s="13" t="str">
        <f>IF(A292="","",B292*'Loan EMI'!$B$9)</f>
        <v/>
      </c>
      <c r="E292" s="13" t="str">
        <f t="shared" si="1"/>
        <v/>
      </c>
      <c r="F292" s="13" t="str">
        <f t="shared" si="2"/>
        <v/>
      </c>
    </row>
    <row r="293" ht="15.75" customHeight="1">
      <c r="A293" s="10" t="str">
        <f>IF(290&lt;='Loan EMI'!$B$10,290,"")</f>
        <v/>
      </c>
      <c r="B293" s="13" t="str">
        <f t="shared" si="3"/>
        <v/>
      </c>
      <c r="C293" s="13" t="str">
        <f>IF(A293="","",'Loan EMI'!$B$11)</f>
        <v/>
      </c>
      <c r="D293" s="13" t="str">
        <f>IF(A293="","",B293*'Loan EMI'!$B$9)</f>
        <v/>
      </c>
      <c r="E293" s="13" t="str">
        <f t="shared" si="1"/>
        <v/>
      </c>
      <c r="F293" s="13" t="str">
        <f t="shared" si="2"/>
        <v/>
      </c>
    </row>
    <row r="294" ht="15.75" customHeight="1">
      <c r="A294" s="10" t="str">
        <f>IF(291&lt;='Loan EMI'!$B$10,291,"")</f>
        <v/>
      </c>
      <c r="B294" s="13" t="str">
        <f t="shared" si="3"/>
        <v/>
      </c>
      <c r="C294" s="13" t="str">
        <f>IF(A294="","",'Loan EMI'!$B$11)</f>
        <v/>
      </c>
      <c r="D294" s="13" t="str">
        <f>IF(A294="","",B294*'Loan EMI'!$B$9)</f>
        <v/>
      </c>
      <c r="E294" s="13" t="str">
        <f t="shared" si="1"/>
        <v/>
      </c>
      <c r="F294" s="13" t="str">
        <f t="shared" si="2"/>
        <v/>
      </c>
    </row>
    <row r="295" ht="15.75" customHeight="1">
      <c r="A295" s="10" t="str">
        <f>IF(292&lt;='Loan EMI'!$B$10,292,"")</f>
        <v/>
      </c>
      <c r="B295" s="13" t="str">
        <f t="shared" si="3"/>
        <v/>
      </c>
      <c r="C295" s="13" t="str">
        <f>IF(A295="","",'Loan EMI'!$B$11)</f>
        <v/>
      </c>
      <c r="D295" s="13" t="str">
        <f>IF(A295="","",B295*'Loan EMI'!$B$9)</f>
        <v/>
      </c>
      <c r="E295" s="13" t="str">
        <f t="shared" si="1"/>
        <v/>
      </c>
      <c r="F295" s="13" t="str">
        <f t="shared" si="2"/>
        <v/>
      </c>
    </row>
    <row r="296" ht="15.75" customHeight="1">
      <c r="A296" s="10" t="str">
        <f>IF(293&lt;='Loan EMI'!$B$10,293,"")</f>
        <v/>
      </c>
      <c r="B296" s="13" t="str">
        <f t="shared" si="3"/>
        <v/>
      </c>
      <c r="C296" s="13" t="str">
        <f>IF(A296="","",'Loan EMI'!$B$11)</f>
        <v/>
      </c>
      <c r="D296" s="13" t="str">
        <f>IF(A296="","",B296*'Loan EMI'!$B$9)</f>
        <v/>
      </c>
      <c r="E296" s="13" t="str">
        <f t="shared" si="1"/>
        <v/>
      </c>
      <c r="F296" s="13" t="str">
        <f t="shared" si="2"/>
        <v/>
      </c>
    </row>
    <row r="297" ht="15.75" customHeight="1">
      <c r="A297" s="10" t="str">
        <f>IF(294&lt;='Loan EMI'!$B$10,294,"")</f>
        <v/>
      </c>
      <c r="B297" s="13" t="str">
        <f t="shared" si="3"/>
        <v/>
      </c>
      <c r="C297" s="13" t="str">
        <f>IF(A297="","",'Loan EMI'!$B$11)</f>
        <v/>
      </c>
      <c r="D297" s="13" t="str">
        <f>IF(A297="","",B297*'Loan EMI'!$B$9)</f>
        <v/>
      </c>
      <c r="E297" s="13" t="str">
        <f t="shared" si="1"/>
        <v/>
      </c>
      <c r="F297" s="13" t="str">
        <f t="shared" si="2"/>
        <v/>
      </c>
    </row>
    <row r="298" ht="15.75" customHeight="1">
      <c r="A298" s="10" t="str">
        <f>IF(295&lt;='Loan EMI'!$B$10,295,"")</f>
        <v/>
      </c>
      <c r="B298" s="13" t="str">
        <f t="shared" si="3"/>
        <v/>
      </c>
      <c r="C298" s="13" t="str">
        <f>IF(A298="","",'Loan EMI'!$B$11)</f>
        <v/>
      </c>
      <c r="D298" s="13" t="str">
        <f>IF(A298="","",B298*'Loan EMI'!$B$9)</f>
        <v/>
      </c>
      <c r="E298" s="13" t="str">
        <f t="shared" si="1"/>
        <v/>
      </c>
      <c r="F298" s="13" t="str">
        <f t="shared" si="2"/>
        <v/>
      </c>
    </row>
    <row r="299" ht="15.75" customHeight="1">
      <c r="A299" s="10" t="str">
        <f>IF(296&lt;='Loan EMI'!$B$10,296,"")</f>
        <v/>
      </c>
      <c r="B299" s="13" t="str">
        <f t="shared" si="3"/>
        <v/>
      </c>
      <c r="C299" s="13" t="str">
        <f>IF(A299="","",'Loan EMI'!$B$11)</f>
        <v/>
      </c>
      <c r="D299" s="13" t="str">
        <f>IF(A299="","",B299*'Loan EMI'!$B$9)</f>
        <v/>
      </c>
      <c r="E299" s="13" t="str">
        <f t="shared" si="1"/>
        <v/>
      </c>
      <c r="F299" s="13" t="str">
        <f t="shared" si="2"/>
        <v/>
      </c>
    </row>
    <row r="300" ht="15.75" customHeight="1">
      <c r="A300" s="10" t="str">
        <f>IF(297&lt;='Loan EMI'!$B$10,297,"")</f>
        <v/>
      </c>
      <c r="B300" s="13" t="str">
        <f t="shared" si="3"/>
        <v/>
      </c>
      <c r="C300" s="13" t="str">
        <f>IF(A300="","",'Loan EMI'!$B$11)</f>
        <v/>
      </c>
      <c r="D300" s="13" t="str">
        <f>IF(A300="","",B300*'Loan EMI'!$B$9)</f>
        <v/>
      </c>
      <c r="E300" s="13" t="str">
        <f t="shared" si="1"/>
        <v/>
      </c>
      <c r="F300" s="13" t="str">
        <f t="shared" si="2"/>
        <v/>
      </c>
    </row>
    <row r="301" ht="15.75" customHeight="1">
      <c r="A301" s="10" t="str">
        <f>IF(298&lt;='Loan EMI'!$B$10,298,"")</f>
        <v/>
      </c>
      <c r="B301" s="13" t="str">
        <f t="shared" si="3"/>
        <v/>
      </c>
      <c r="C301" s="13" t="str">
        <f>IF(A301="","",'Loan EMI'!$B$11)</f>
        <v/>
      </c>
      <c r="D301" s="13" t="str">
        <f>IF(A301="","",B301*'Loan EMI'!$B$9)</f>
        <v/>
      </c>
      <c r="E301" s="13" t="str">
        <f t="shared" si="1"/>
        <v/>
      </c>
      <c r="F301" s="13" t="str">
        <f t="shared" si="2"/>
        <v/>
      </c>
    </row>
    <row r="302" ht="15.75" customHeight="1">
      <c r="A302" s="10" t="str">
        <f>IF(299&lt;='Loan EMI'!$B$10,299,"")</f>
        <v/>
      </c>
      <c r="B302" s="13" t="str">
        <f t="shared" si="3"/>
        <v/>
      </c>
      <c r="C302" s="13" t="str">
        <f>IF(A302="","",'Loan EMI'!$B$11)</f>
        <v/>
      </c>
      <c r="D302" s="13" t="str">
        <f>IF(A302="","",B302*'Loan EMI'!$B$9)</f>
        <v/>
      </c>
      <c r="E302" s="13" t="str">
        <f t="shared" si="1"/>
        <v/>
      </c>
      <c r="F302" s="13" t="str">
        <f t="shared" si="2"/>
        <v/>
      </c>
    </row>
    <row r="303" ht="15.75" customHeight="1">
      <c r="A303" s="10" t="str">
        <f>IF(300&lt;='Loan EMI'!$B$10,300,"")</f>
        <v/>
      </c>
      <c r="B303" s="13" t="str">
        <f t="shared" si="3"/>
        <v/>
      </c>
      <c r="C303" s="13" t="str">
        <f>IF(A303="","",'Loan EMI'!$B$11)</f>
        <v/>
      </c>
      <c r="D303" s="13" t="str">
        <f>IF(A303="","",B303*'Loan EMI'!$B$9)</f>
        <v/>
      </c>
      <c r="E303" s="13" t="str">
        <f t="shared" si="1"/>
        <v/>
      </c>
      <c r="F303" s="13" t="str">
        <f t="shared" si="2"/>
        <v/>
      </c>
    </row>
    <row r="304" ht="15.75" customHeight="1">
      <c r="A304" s="10" t="str">
        <f>IF(301&lt;='Loan EMI'!$B$10,301,"")</f>
        <v/>
      </c>
      <c r="B304" s="13" t="str">
        <f t="shared" si="3"/>
        <v/>
      </c>
      <c r="C304" s="13" t="str">
        <f>IF(A304="","",'Loan EMI'!$B$11)</f>
        <v/>
      </c>
      <c r="D304" s="13" t="str">
        <f>IF(A304="","",B304*'Loan EMI'!$B$9)</f>
        <v/>
      </c>
      <c r="E304" s="13" t="str">
        <f t="shared" si="1"/>
        <v/>
      </c>
      <c r="F304" s="13" t="str">
        <f t="shared" si="2"/>
        <v/>
      </c>
    </row>
    <row r="305" ht="15.75" customHeight="1">
      <c r="A305" s="10" t="str">
        <f>IF(302&lt;='Loan EMI'!$B$10,302,"")</f>
        <v/>
      </c>
      <c r="B305" s="13" t="str">
        <f t="shared" si="3"/>
        <v/>
      </c>
      <c r="C305" s="13" t="str">
        <f>IF(A305="","",'Loan EMI'!$B$11)</f>
        <v/>
      </c>
      <c r="D305" s="13" t="str">
        <f>IF(A305="","",B305*'Loan EMI'!$B$9)</f>
        <v/>
      </c>
      <c r="E305" s="13" t="str">
        <f t="shared" si="1"/>
        <v/>
      </c>
      <c r="F305" s="13" t="str">
        <f t="shared" si="2"/>
        <v/>
      </c>
    </row>
    <row r="306" ht="15.75" customHeight="1">
      <c r="A306" s="10" t="str">
        <f>IF(303&lt;='Loan EMI'!$B$10,303,"")</f>
        <v/>
      </c>
      <c r="B306" s="13" t="str">
        <f t="shared" si="3"/>
        <v/>
      </c>
      <c r="C306" s="13" t="str">
        <f>IF(A306="","",'Loan EMI'!$B$11)</f>
        <v/>
      </c>
      <c r="D306" s="13" t="str">
        <f>IF(A306="","",B306*'Loan EMI'!$B$9)</f>
        <v/>
      </c>
      <c r="E306" s="13" t="str">
        <f t="shared" si="1"/>
        <v/>
      </c>
      <c r="F306" s="13" t="str">
        <f t="shared" si="2"/>
        <v/>
      </c>
    </row>
    <row r="307" ht="15.75" customHeight="1">
      <c r="A307" s="10" t="str">
        <f>IF(304&lt;='Loan EMI'!$B$10,304,"")</f>
        <v/>
      </c>
      <c r="B307" s="13" t="str">
        <f t="shared" si="3"/>
        <v/>
      </c>
      <c r="C307" s="13" t="str">
        <f>IF(A307="","",'Loan EMI'!$B$11)</f>
        <v/>
      </c>
      <c r="D307" s="13" t="str">
        <f>IF(A307="","",B307*'Loan EMI'!$B$9)</f>
        <v/>
      </c>
      <c r="E307" s="13" t="str">
        <f t="shared" si="1"/>
        <v/>
      </c>
      <c r="F307" s="13" t="str">
        <f t="shared" si="2"/>
        <v/>
      </c>
    </row>
    <row r="308" ht="15.75" customHeight="1">
      <c r="A308" s="10" t="str">
        <f>IF(305&lt;='Loan EMI'!$B$10,305,"")</f>
        <v/>
      </c>
      <c r="B308" s="13" t="str">
        <f t="shared" si="3"/>
        <v/>
      </c>
      <c r="C308" s="13" t="str">
        <f>IF(A308="","",'Loan EMI'!$B$11)</f>
        <v/>
      </c>
      <c r="D308" s="13" t="str">
        <f>IF(A308="","",B308*'Loan EMI'!$B$9)</f>
        <v/>
      </c>
      <c r="E308" s="13" t="str">
        <f t="shared" si="1"/>
        <v/>
      </c>
      <c r="F308" s="13" t="str">
        <f t="shared" si="2"/>
        <v/>
      </c>
    </row>
    <row r="309" ht="15.75" customHeight="1">
      <c r="A309" s="10" t="str">
        <f>IF(306&lt;='Loan EMI'!$B$10,306,"")</f>
        <v/>
      </c>
      <c r="B309" s="13" t="str">
        <f t="shared" si="3"/>
        <v/>
      </c>
      <c r="C309" s="13" t="str">
        <f>IF(A309="","",'Loan EMI'!$B$11)</f>
        <v/>
      </c>
      <c r="D309" s="13" t="str">
        <f>IF(A309="","",B309*'Loan EMI'!$B$9)</f>
        <v/>
      </c>
      <c r="E309" s="13" t="str">
        <f t="shared" si="1"/>
        <v/>
      </c>
      <c r="F309" s="13" t="str">
        <f t="shared" si="2"/>
        <v/>
      </c>
    </row>
    <row r="310" ht="15.75" customHeight="1">
      <c r="A310" s="10" t="str">
        <f>IF(307&lt;='Loan EMI'!$B$10,307,"")</f>
        <v/>
      </c>
      <c r="B310" s="13" t="str">
        <f t="shared" si="3"/>
        <v/>
      </c>
      <c r="C310" s="13" t="str">
        <f>IF(A310="","",'Loan EMI'!$B$11)</f>
        <v/>
      </c>
      <c r="D310" s="13" t="str">
        <f>IF(A310="","",B310*'Loan EMI'!$B$9)</f>
        <v/>
      </c>
      <c r="E310" s="13" t="str">
        <f t="shared" si="1"/>
        <v/>
      </c>
      <c r="F310" s="13" t="str">
        <f t="shared" si="2"/>
        <v/>
      </c>
    </row>
    <row r="311" ht="15.75" customHeight="1">
      <c r="A311" s="10" t="str">
        <f>IF(308&lt;='Loan EMI'!$B$10,308,"")</f>
        <v/>
      </c>
      <c r="B311" s="13" t="str">
        <f t="shared" si="3"/>
        <v/>
      </c>
      <c r="C311" s="13" t="str">
        <f>IF(A311="","",'Loan EMI'!$B$11)</f>
        <v/>
      </c>
      <c r="D311" s="13" t="str">
        <f>IF(A311="","",B311*'Loan EMI'!$B$9)</f>
        <v/>
      </c>
      <c r="E311" s="13" t="str">
        <f t="shared" si="1"/>
        <v/>
      </c>
      <c r="F311" s="13" t="str">
        <f t="shared" si="2"/>
        <v/>
      </c>
    </row>
    <row r="312" ht="15.75" customHeight="1">
      <c r="A312" s="10" t="str">
        <f>IF(309&lt;='Loan EMI'!$B$10,309,"")</f>
        <v/>
      </c>
      <c r="B312" s="13" t="str">
        <f t="shared" si="3"/>
        <v/>
      </c>
      <c r="C312" s="13" t="str">
        <f>IF(A312="","",'Loan EMI'!$B$11)</f>
        <v/>
      </c>
      <c r="D312" s="13" t="str">
        <f>IF(A312="","",B312*'Loan EMI'!$B$9)</f>
        <v/>
      </c>
      <c r="E312" s="13" t="str">
        <f t="shared" si="1"/>
        <v/>
      </c>
      <c r="F312" s="13" t="str">
        <f t="shared" si="2"/>
        <v/>
      </c>
    </row>
    <row r="313" ht="15.75" customHeight="1">
      <c r="A313" s="10" t="str">
        <f>IF(310&lt;='Loan EMI'!$B$10,310,"")</f>
        <v/>
      </c>
      <c r="B313" s="13" t="str">
        <f t="shared" si="3"/>
        <v/>
      </c>
      <c r="C313" s="13" t="str">
        <f>IF(A313="","",'Loan EMI'!$B$11)</f>
        <v/>
      </c>
      <c r="D313" s="13" t="str">
        <f>IF(A313="","",B313*'Loan EMI'!$B$9)</f>
        <v/>
      </c>
      <c r="E313" s="13" t="str">
        <f t="shared" si="1"/>
        <v/>
      </c>
      <c r="F313" s="13" t="str">
        <f t="shared" si="2"/>
        <v/>
      </c>
    </row>
    <row r="314" ht="15.75" customHeight="1">
      <c r="A314" s="10" t="str">
        <f>IF(311&lt;='Loan EMI'!$B$10,311,"")</f>
        <v/>
      </c>
      <c r="B314" s="13" t="str">
        <f t="shared" si="3"/>
        <v/>
      </c>
      <c r="C314" s="13" t="str">
        <f>IF(A314="","",'Loan EMI'!$B$11)</f>
        <v/>
      </c>
      <c r="D314" s="13" t="str">
        <f>IF(A314="","",B314*'Loan EMI'!$B$9)</f>
        <v/>
      </c>
      <c r="E314" s="13" t="str">
        <f t="shared" si="1"/>
        <v/>
      </c>
      <c r="F314" s="13" t="str">
        <f t="shared" si="2"/>
        <v/>
      </c>
    </row>
    <row r="315" ht="15.75" customHeight="1">
      <c r="A315" s="10" t="str">
        <f>IF(312&lt;='Loan EMI'!$B$10,312,"")</f>
        <v/>
      </c>
      <c r="B315" s="13" t="str">
        <f t="shared" si="3"/>
        <v/>
      </c>
      <c r="C315" s="13" t="str">
        <f>IF(A315="","",'Loan EMI'!$B$11)</f>
        <v/>
      </c>
      <c r="D315" s="13" t="str">
        <f>IF(A315="","",B315*'Loan EMI'!$B$9)</f>
        <v/>
      </c>
      <c r="E315" s="13" t="str">
        <f t="shared" si="1"/>
        <v/>
      </c>
      <c r="F315" s="13" t="str">
        <f t="shared" si="2"/>
        <v/>
      </c>
    </row>
    <row r="316" ht="15.75" customHeight="1">
      <c r="A316" s="10" t="str">
        <f>IF(313&lt;='Loan EMI'!$B$10,313,"")</f>
        <v/>
      </c>
      <c r="B316" s="13" t="str">
        <f t="shared" si="3"/>
        <v/>
      </c>
      <c r="C316" s="13" t="str">
        <f>IF(A316="","",'Loan EMI'!$B$11)</f>
        <v/>
      </c>
      <c r="D316" s="13" t="str">
        <f>IF(A316="","",B316*'Loan EMI'!$B$9)</f>
        <v/>
      </c>
      <c r="E316" s="13" t="str">
        <f t="shared" si="1"/>
        <v/>
      </c>
      <c r="F316" s="13" t="str">
        <f t="shared" si="2"/>
        <v/>
      </c>
    </row>
    <row r="317" ht="15.75" customHeight="1">
      <c r="A317" s="10" t="str">
        <f>IF(314&lt;='Loan EMI'!$B$10,314,"")</f>
        <v/>
      </c>
      <c r="B317" s="13" t="str">
        <f t="shared" si="3"/>
        <v/>
      </c>
      <c r="C317" s="13" t="str">
        <f>IF(A317="","",'Loan EMI'!$B$11)</f>
        <v/>
      </c>
      <c r="D317" s="13" t="str">
        <f>IF(A317="","",B317*'Loan EMI'!$B$9)</f>
        <v/>
      </c>
      <c r="E317" s="13" t="str">
        <f t="shared" si="1"/>
        <v/>
      </c>
      <c r="F317" s="13" t="str">
        <f t="shared" si="2"/>
        <v/>
      </c>
    </row>
    <row r="318" ht="15.75" customHeight="1">
      <c r="A318" s="10" t="str">
        <f>IF(315&lt;='Loan EMI'!$B$10,315,"")</f>
        <v/>
      </c>
      <c r="B318" s="13" t="str">
        <f t="shared" si="3"/>
        <v/>
      </c>
      <c r="C318" s="13" t="str">
        <f>IF(A318="","",'Loan EMI'!$B$11)</f>
        <v/>
      </c>
      <c r="D318" s="13" t="str">
        <f>IF(A318="","",B318*'Loan EMI'!$B$9)</f>
        <v/>
      </c>
      <c r="E318" s="13" t="str">
        <f t="shared" si="1"/>
        <v/>
      </c>
      <c r="F318" s="13" t="str">
        <f t="shared" si="2"/>
        <v/>
      </c>
    </row>
    <row r="319" ht="15.75" customHeight="1">
      <c r="A319" s="10" t="str">
        <f>IF(316&lt;='Loan EMI'!$B$10,316,"")</f>
        <v/>
      </c>
      <c r="B319" s="13" t="str">
        <f t="shared" si="3"/>
        <v/>
      </c>
      <c r="C319" s="13" t="str">
        <f>IF(A319="","",'Loan EMI'!$B$11)</f>
        <v/>
      </c>
      <c r="D319" s="13" t="str">
        <f>IF(A319="","",B319*'Loan EMI'!$B$9)</f>
        <v/>
      </c>
      <c r="E319" s="13" t="str">
        <f t="shared" si="1"/>
        <v/>
      </c>
      <c r="F319" s="13" t="str">
        <f t="shared" si="2"/>
        <v/>
      </c>
    </row>
    <row r="320" ht="15.75" customHeight="1">
      <c r="A320" s="10" t="str">
        <f>IF(317&lt;='Loan EMI'!$B$10,317,"")</f>
        <v/>
      </c>
      <c r="B320" s="13" t="str">
        <f t="shared" si="3"/>
        <v/>
      </c>
      <c r="C320" s="13" t="str">
        <f>IF(A320="","",'Loan EMI'!$B$11)</f>
        <v/>
      </c>
      <c r="D320" s="13" t="str">
        <f>IF(A320="","",B320*'Loan EMI'!$B$9)</f>
        <v/>
      </c>
      <c r="E320" s="13" t="str">
        <f t="shared" si="1"/>
        <v/>
      </c>
      <c r="F320" s="13" t="str">
        <f t="shared" si="2"/>
        <v/>
      </c>
    </row>
    <row r="321" ht="15.75" customHeight="1">
      <c r="A321" s="10" t="str">
        <f>IF(318&lt;='Loan EMI'!$B$10,318,"")</f>
        <v/>
      </c>
      <c r="B321" s="13" t="str">
        <f t="shared" si="3"/>
        <v/>
      </c>
      <c r="C321" s="13" t="str">
        <f>IF(A321="","",'Loan EMI'!$B$11)</f>
        <v/>
      </c>
      <c r="D321" s="13" t="str">
        <f>IF(A321="","",B321*'Loan EMI'!$B$9)</f>
        <v/>
      </c>
      <c r="E321" s="13" t="str">
        <f t="shared" si="1"/>
        <v/>
      </c>
      <c r="F321" s="13" t="str">
        <f t="shared" si="2"/>
        <v/>
      </c>
    </row>
    <row r="322" ht="15.75" customHeight="1">
      <c r="A322" s="10" t="str">
        <f>IF(319&lt;='Loan EMI'!$B$10,319,"")</f>
        <v/>
      </c>
      <c r="B322" s="13" t="str">
        <f t="shared" si="3"/>
        <v/>
      </c>
      <c r="C322" s="13" t="str">
        <f>IF(A322="","",'Loan EMI'!$B$11)</f>
        <v/>
      </c>
      <c r="D322" s="13" t="str">
        <f>IF(A322="","",B322*'Loan EMI'!$B$9)</f>
        <v/>
      </c>
      <c r="E322" s="13" t="str">
        <f t="shared" si="1"/>
        <v/>
      </c>
      <c r="F322" s="13" t="str">
        <f t="shared" si="2"/>
        <v/>
      </c>
    </row>
    <row r="323" ht="15.75" customHeight="1">
      <c r="A323" s="10" t="str">
        <f>IF(320&lt;='Loan EMI'!$B$10,320,"")</f>
        <v/>
      </c>
      <c r="B323" s="13" t="str">
        <f t="shared" si="3"/>
        <v/>
      </c>
      <c r="C323" s="13" t="str">
        <f>IF(A323="","",'Loan EMI'!$B$11)</f>
        <v/>
      </c>
      <c r="D323" s="13" t="str">
        <f>IF(A323="","",B323*'Loan EMI'!$B$9)</f>
        <v/>
      </c>
      <c r="E323" s="13" t="str">
        <f t="shared" si="1"/>
        <v/>
      </c>
      <c r="F323" s="13" t="str">
        <f t="shared" si="2"/>
        <v/>
      </c>
    </row>
    <row r="324" ht="15.75" customHeight="1">
      <c r="A324" s="10" t="str">
        <f>IF(321&lt;='Loan EMI'!$B$10,321,"")</f>
        <v/>
      </c>
      <c r="B324" s="13" t="str">
        <f t="shared" si="3"/>
        <v/>
      </c>
      <c r="C324" s="13" t="str">
        <f>IF(A324="","",'Loan EMI'!$B$11)</f>
        <v/>
      </c>
      <c r="D324" s="13" t="str">
        <f>IF(A324="","",B324*'Loan EMI'!$B$9)</f>
        <v/>
      </c>
      <c r="E324" s="13" t="str">
        <f t="shared" si="1"/>
        <v/>
      </c>
      <c r="F324" s="13" t="str">
        <f t="shared" si="2"/>
        <v/>
      </c>
    </row>
    <row r="325" ht="15.75" customHeight="1">
      <c r="A325" s="10" t="str">
        <f>IF(322&lt;='Loan EMI'!$B$10,322,"")</f>
        <v/>
      </c>
      <c r="B325" s="13" t="str">
        <f t="shared" si="3"/>
        <v/>
      </c>
      <c r="C325" s="13" t="str">
        <f>IF(A325="","",'Loan EMI'!$B$11)</f>
        <v/>
      </c>
      <c r="D325" s="13" t="str">
        <f>IF(A325="","",B325*'Loan EMI'!$B$9)</f>
        <v/>
      </c>
      <c r="E325" s="13" t="str">
        <f t="shared" si="1"/>
        <v/>
      </c>
      <c r="F325" s="13" t="str">
        <f t="shared" si="2"/>
        <v/>
      </c>
    </row>
    <row r="326" ht="15.75" customHeight="1">
      <c r="A326" s="10" t="str">
        <f>IF(323&lt;='Loan EMI'!$B$10,323,"")</f>
        <v/>
      </c>
      <c r="B326" s="13" t="str">
        <f t="shared" si="3"/>
        <v/>
      </c>
      <c r="C326" s="13" t="str">
        <f>IF(A326="","",'Loan EMI'!$B$11)</f>
        <v/>
      </c>
      <c r="D326" s="13" t="str">
        <f>IF(A326="","",B326*'Loan EMI'!$B$9)</f>
        <v/>
      </c>
      <c r="E326" s="13" t="str">
        <f t="shared" si="1"/>
        <v/>
      </c>
      <c r="F326" s="13" t="str">
        <f t="shared" si="2"/>
        <v/>
      </c>
    </row>
    <row r="327" ht="15.75" customHeight="1">
      <c r="A327" s="10" t="str">
        <f>IF(324&lt;='Loan EMI'!$B$10,324,"")</f>
        <v/>
      </c>
      <c r="B327" s="13" t="str">
        <f t="shared" si="3"/>
        <v/>
      </c>
      <c r="C327" s="13" t="str">
        <f>IF(A327="","",'Loan EMI'!$B$11)</f>
        <v/>
      </c>
      <c r="D327" s="13" t="str">
        <f>IF(A327="","",B327*'Loan EMI'!$B$9)</f>
        <v/>
      </c>
      <c r="E327" s="13" t="str">
        <f t="shared" si="1"/>
        <v/>
      </c>
      <c r="F327" s="13" t="str">
        <f t="shared" si="2"/>
        <v/>
      </c>
    </row>
    <row r="328" ht="15.75" customHeight="1">
      <c r="A328" s="10" t="str">
        <f>IF(325&lt;='Loan EMI'!$B$10,325,"")</f>
        <v/>
      </c>
      <c r="B328" s="13" t="str">
        <f t="shared" si="3"/>
        <v/>
      </c>
      <c r="C328" s="13" t="str">
        <f>IF(A328="","",'Loan EMI'!$B$11)</f>
        <v/>
      </c>
      <c r="D328" s="13" t="str">
        <f>IF(A328="","",B328*'Loan EMI'!$B$9)</f>
        <v/>
      </c>
      <c r="E328" s="13" t="str">
        <f t="shared" si="1"/>
        <v/>
      </c>
      <c r="F328" s="13" t="str">
        <f t="shared" si="2"/>
        <v/>
      </c>
    </row>
    <row r="329" ht="15.75" customHeight="1">
      <c r="A329" s="10" t="str">
        <f>IF(326&lt;='Loan EMI'!$B$10,326,"")</f>
        <v/>
      </c>
      <c r="B329" s="13" t="str">
        <f t="shared" si="3"/>
        <v/>
      </c>
      <c r="C329" s="13" t="str">
        <f>IF(A329="","",'Loan EMI'!$B$11)</f>
        <v/>
      </c>
      <c r="D329" s="13" t="str">
        <f>IF(A329="","",B329*'Loan EMI'!$B$9)</f>
        <v/>
      </c>
      <c r="E329" s="13" t="str">
        <f t="shared" si="1"/>
        <v/>
      </c>
      <c r="F329" s="13" t="str">
        <f t="shared" si="2"/>
        <v/>
      </c>
    </row>
    <row r="330" ht="15.75" customHeight="1">
      <c r="A330" s="10" t="str">
        <f>IF(327&lt;='Loan EMI'!$B$10,327,"")</f>
        <v/>
      </c>
      <c r="B330" s="13" t="str">
        <f t="shared" si="3"/>
        <v/>
      </c>
      <c r="C330" s="13" t="str">
        <f>IF(A330="","",'Loan EMI'!$B$11)</f>
        <v/>
      </c>
      <c r="D330" s="13" t="str">
        <f>IF(A330="","",B330*'Loan EMI'!$B$9)</f>
        <v/>
      </c>
      <c r="E330" s="13" t="str">
        <f t="shared" si="1"/>
        <v/>
      </c>
      <c r="F330" s="13" t="str">
        <f t="shared" si="2"/>
        <v/>
      </c>
    </row>
    <row r="331" ht="15.75" customHeight="1">
      <c r="A331" s="10" t="str">
        <f>IF(328&lt;='Loan EMI'!$B$10,328,"")</f>
        <v/>
      </c>
      <c r="B331" s="13" t="str">
        <f t="shared" si="3"/>
        <v/>
      </c>
      <c r="C331" s="13" t="str">
        <f>IF(A331="","",'Loan EMI'!$B$11)</f>
        <v/>
      </c>
      <c r="D331" s="13" t="str">
        <f>IF(A331="","",B331*'Loan EMI'!$B$9)</f>
        <v/>
      </c>
      <c r="E331" s="13" t="str">
        <f t="shared" si="1"/>
        <v/>
      </c>
      <c r="F331" s="13" t="str">
        <f t="shared" si="2"/>
        <v/>
      </c>
    </row>
    <row r="332" ht="15.75" customHeight="1">
      <c r="A332" s="10" t="str">
        <f>IF(329&lt;='Loan EMI'!$B$10,329,"")</f>
        <v/>
      </c>
      <c r="B332" s="13" t="str">
        <f t="shared" si="3"/>
        <v/>
      </c>
      <c r="C332" s="13" t="str">
        <f>IF(A332="","",'Loan EMI'!$B$11)</f>
        <v/>
      </c>
      <c r="D332" s="13" t="str">
        <f>IF(A332="","",B332*'Loan EMI'!$B$9)</f>
        <v/>
      </c>
      <c r="E332" s="13" t="str">
        <f t="shared" si="1"/>
        <v/>
      </c>
      <c r="F332" s="13" t="str">
        <f t="shared" si="2"/>
        <v/>
      </c>
    </row>
    <row r="333" ht="15.75" customHeight="1">
      <c r="A333" s="10" t="str">
        <f>IF(330&lt;='Loan EMI'!$B$10,330,"")</f>
        <v/>
      </c>
      <c r="B333" s="13" t="str">
        <f t="shared" si="3"/>
        <v/>
      </c>
      <c r="C333" s="13" t="str">
        <f>IF(A333="","",'Loan EMI'!$B$11)</f>
        <v/>
      </c>
      <c r="D333" s="13" t="str">
        <f>IF(A333="","",B333*'Loan EMI'!$B$9)</f>
        <v/>
      </c>
      <c r="E333" s="13" t="str">
        <f t="shared" si="1"/>
        <v/>
      </c>
      <c r="F333" s="13" t="str">
        <f t="shared" si="2"/>
        <v/>
      </c>
    </row>
    <row r="334" ht="15.75" customHeight="1">
      <c r="A334" s="10" t="str">
        <f>IF(331&lt;='Loan EMI'!$B$10,331,"")</f>
        <v/>
      </c>
      <c r="B334" s="13" t="str">
        <f t="shared" si="3"/>
        <v/>
      </c>
      <c r="C334" s="13" t="str">
        <f>IF(A334="","",'Loan EMI'!$B$11)</f>
        <v/>
      </c>
      <c r="D334" s="13" t="str">
        <f>IF(A334="","",B334*'Loan EMI'!$B$9)</f>
        <v/>
      </c>
      <c r="E334" s="13" t="str">
        <f t="shared" si="1"/>
        <v/>
      </c>
      <c r="F334" s="13" t="str">
        <f t="shared" si="2"/>
        <v/>
      </c>
    </row>
    <row r="335" ht="15.75" customHeight="1">
      <c r="A335" s="10" t="str">
        <f>IF(332&lt;='Loan EMI'!$B$10,332,"")</f>
        <v/>
      </c>
      <c r="B335" s="13" t="str">
        <f t="shared" si="3"/>
        <v/>
      </c>
      <c r="C335" s="13" t="str">
        <f>IF(A335="","",'Loan EMI'!$B$11)</f>
        <v/>
      </c>
      <c r="D335" s="13" t="str">
        <f>IF(A335="","",B335*'Loan EMI'!$B$9)</f>
        <v/>
      </c>
      <c r="E335" s="13" t="str">
        <f t="shared" si="1"/>
        <v/>
      </c>
      <c r="F335" s="13" t="str">
        <f t="shared" si="2"/>
        <v/>
      </c>
    </row>
    <row r="336" ht="15.75" customHeight="1">
      <c r="A336" s="10" t="str">
        <f>IF(333&lt;='Loan EMI'!$B$10,333,"")</f>
        <v/>
      </c>
      <c r="B336" s="13" t="str">
        <f t="shared" si="3"/>
        <v/>
      </c>
      <c r="C336" s="13" t="str">
        <f>IF(A336="","",'Loan EMI'!$B$11)</f>
        <v/>
      </c>
      <c r="D336" s="13" t="str">
        <f>IF(A336="","",B336*'Loan EMI'!$B$9)</f>
        <v/>
      </c>
      <c r="E336" s="13" t="str">
        <f t="shared" si="1"/>
        <v/>
      </c>
      <c r="F336" s="13" t="str">
        <f t="shared" si="2"/>
        <v/>
      </c>
    </row>
    <row r="337" ht="15.75" customHeight="1">
      <c r="A337" s="10" t="str">
        <f>IF(334&lt;='Loan EMI'!$B$10,334,"")</f>
        <v/>
      </c>
      <c r="B337" s="13" t="str">
        <f t="shared" si="3"/>
        <v/>
      </c>
      <c r="C337" s="13" t="str">
        <f>IF(A337="","",'Loan EMI'!$B$11)</f>
        <v/>
      </c>
      <c r="D337" s="13" t="str">
        <f>IF(A337="","",B337*'Loan EMI'!$B$9)</f>
        <v/>
      </c>
      <c r="E337" s="13" t="str">
        <f t="shared" si="1"/>
        <v/>
      </c>
      <c r="F337" s="13" t="str">
        <f t="shared" si="2"/>
        <v/>
      </c>
    </row>
    <row r="338" ht="15.75" customHeight="1">
      <c r="A338" s="10" t="str">
        <f>IF(335&lt;='Loan EMI'!$B$10,335,"")</f>
        <v/>
      </c>
      <c r="B338" s="13" t="str">
        <f t="shared" si="3"/>
        <v/>
      </c>
      <c r="C338" s="13" t="str">
        <f>IF(A338="","",'Loan EMI'!$B$11)</f>
        <v/>
      </c>
      <c r="D338" s="13" t="str">
        <f>IF(A338="","",B338*'Loan EMI'!$B$9)</f>
        <v/>
      </c>
      <c r="E338" s="13" t="str">
        <f t="shared" si="1"/>
        <v/>
      </c>
      <c r="F338" s="13" t="str">
        <f t="shared" si="2"/>
        <v/>
      </c>
    </row>
    <row r="339" ht="15.75" customHeight="1">
      <c r="A339" s="10" t="str">
        <f>IF(336&lt;='Loan EMI'!$B$10,336,"")</f>
        <v/>
      </c>
      <c r="B339" s="13" t="str">
        <f t="shared" si="3"/>
        <v/>
      </c>
      <c r="C339" s="13" t="str">
        <f>IF(A339="","",'Loan EMI'!$B$11)</f>
        <v/>
      </c>
      <c r="D339" s="13" t="str">
        <f>IF(A339="","",B339*'Loan EMI'!$B$9)</f>
        <v/>
      </c>
      <c r="E339" s="13" t="str">
        <f t="shared" si="1"/>
        <v/>
      </c>
      <c r="F339" s="13" t="str">
        <f t="shared" si="2"/>
        <v/>
      </c>
    </row>
    <row r="340" ht="15.75" customHeight="1">
      <c r="A340" s="10" t="str">
        <f>IF(337&lt;='Loan EMI'!$B$10,337,"")</f>
        <v/>
      </c>
      <c r="B340" s="13" t="str">
        <f t="shared" si="3"/>
        <v/>
      </c>
      <c r="C340" s="13" t="str">
        <f>IF(A340="","",'Loan EMI'!$B$11)</f>
        <v/>
      </c>
      <c r="D340" s="13" t="str">
        <f>IF(A340="","",B340*'Loan EMI'!$B$9)</f>
        <v/>
      </c>
      <c r="E340" s="13" t="str">
        <f t="shared" si="1"/>
        <v/>
      </c>
      <c r="F340" s="13" t="str">
        <f t="shared" si="2"/>
        <v/>
      </c>
    </row>
    <row r="341" ht="15.75" customHeight="1">
      <c r="A341" s="10" t="str">
        <f>IF(338&lt;='Loan EMI'!$B$10,338,"")</f>
        <v/>
      </c>
      <c r="B341" s="13" t="str">
        <f t="shared" si="3"/>
        <v/>
      </c>
      <c r="C341" s="13" t="str">
        <f>IF(A341="","",'Loan EMI'!$B$11)</f>
        <v/>
      </c>
      <c r="D341" s="13" t="str">
        <f>IF(A341="","",B341*'Loan EMI'!$B$9)</f>
        <v/>
      </c>
      <c r="E341" s="13" t="str">
        <f t="shared" si="1"/>
        <v/>
      </c>
      <c r="F341" s="13" t="str">
        <f t="shared" si="2"/>
        <v/>
      </c>
    </row>
    <row r="342" ht="15.75" customHeight="1">
      <c r="A342" s="10" t="str">
        <f>IF(339&lt;='Loan EMI'!$B$10,339,"")</f>
        <v/>
      </c>
      <c r="B342" s="13" t="str">
        <f t="shared" si="3"/>
        <v/>
      </c>
      <c r="C342" s="13" t="str">
        <f>IF(A342="","",'Loan EMI'!$B$11)</f>
        <v/>
      </c>
      <c r="D342" s="13" t="str">
        <f>IF(A342="","",B342*'Loan EMI'!$B$9)</f>
        <v/>
      </c>
      <c r="E342" s="13" t="str">
        <f t="shared" si="1"/>
        <v/>
      </c>
      <c r="F342" s="13" t="str">
        <f t="shared" si="2"/>
        <v/>
      </c>
    </row>
    <row r="343" ht="15.75" customHeight="1">
      <c r="A343" s="10" t="str">
        <f>IF(340&lt;='Loan EMI'!$B$10,340,"")</f>
        <v/>
      </c>
      <c r="B343" s="13" t="str">
        <f t="shared" si="3"/>
        <v/>
      </c>
      <c r="C343" s="13" t="str">
        <f>IF(A343="","",'Loan EMI'!$B$11)</f>
        <v/>
      </c>
      <c r="D343" s="13" t="str">
        <f>IF(A343="","",B343*'Loan EMI'!$B$9)</f>
        <v/>
      </c>
      <c r="E343" s="13" t="str">
        <f t="shared" si="1"/>
        <v/>
      </c>
      <c r="F343" s="13" t="str">
        <f t="shared" si="2"/>
        <v/>
      </c>
    </row>
    <row r="344" ht="15.75" customHeight="1">
      <c r="A344" s="10" t="str">
        <f>IF(341&lt;='Loan EMI'!$B$10,341,"")</f>
        <v/>
      </c>
      <c r="B344" s="13" t="str">
        <f t="shared" si="3"/>
        <v/>
      </c>
      <c r="C344" s="13" t="str">
        <f>IF(A344="","",'Loan EMI'!$B$11)</f>
        <v/>
      </c>
      <c r="D344" s="13" t="str">
        <f>IF(A344="","",B344*'Loan EMI'!$B$9)</f>
        <v/>
      </c>
      <c r="E344" s="13" t="str">
        <f t="shared" si="1"/>
        <v/>
      </c>
      <c r="F344" s="13" t="str">
        <f t="shared" si="2"/>
        <v/>
      </c>
    </row>
    <row r="345" ht="15.75" customHeight="1">
      <c r="A345" s="10" t="str">
        <f>IF(342&lt;='Loan EMI'!$B$10,342,"")</f>
        <v/>
      </c>
      <c r="B345" s="13" t="str">
        <f t="shared" si="3"/>
        <v/>
      </c>
      <c r="C345" s="13" t="str">
        <f>IF(A345="","",'Loan EMI'!$B$11)</f>
        <v/>
      </c>
      <c r="D345" s="13" t="str">
        <f>IF(A345="","",B345*'Loan EMI'!$B$9)</f>
        <v/>
      </c>
      <c r="E345" s="13" t="str">
        <f t="shared" si="1"/>
        <v/>
      </c>
      <c r="F345" s="13" t="str">
        <f t="shared" si="2"/>
        <v/>
      </c>
    </row>
    <row r="346" ht="15.75" customHeight="1">
      <c r="A346" s="10" t="str">
        <f>IF(343&lt;='Loan EMI'!$B$10,343,"")</f>
        <v/>
      </c>
      <c r="B346" s="13" t="str">
        <f t="shared" si="3"/>
        <v/>
      </c>
      <c r="C346" s="13" t="str">
        <f>IF(A346="","",'Loan EMI'!$B$11)</f>
        <v/>
      </c>
      <c r="D346" s="13" t="str">
        <f>IF(A346="","",B346*'Loan EMI'!$B$9)</f>
        <v/>
      </c>
      <c r="E346" s="13" t="str">
        <f t="shared" si="1"/>
        <v/>
      </c>
      <c r="F346" s="13" t="str">
        <f t="shared" si="2"/>
        <v/>
      </c>
    </row>
    <row r="347" ht="15.75" customHeight="1">
      <c r="A347" s="10" t="str">
        <f>IF(344&lt;='Loan EMI'!$B$10,344,"")</f>
        <v/>
      </c>
      <c r="B347" s="13" t="str">
        <f t="shared" si="3"/>
        <v/>
      </c>
      <c r="C347" s="13" t="str">
        <f>IF(A347="","",'Loan EMI'!$B$11)</f>
        <v/>
      </c>
      <c r="D347" s="13" t="str">
        <f>IF(A347="","",B347*'Loan EMI'!$B$9)</f>
        <v/>
      </c>
      <c r="E347" s="13" t="str">
        <f t="shared" si="1"/>
        <v/>
      </c>
      <c r="F347" s="13" t="str">
        <f t="shared" si="2"/>
        <v/>
      </c>
    </row>
    <row r="348" ht="15.75" customHeight="1">
      <c r="A348" s="10" t="str">
        <f>IF(345&lt;='Loan EMI'!$B$10,345,"")</f>
        <v/>
      </c>
      <c r="B348" s="13" t="str">
        <f t="shared" si="3"/>
        <v/>
      </c>
      <c r="C348" s="13" t="str">
        <f>IF(A348="","",'Loan EMI'!$B$11)</f>
        <v/>
      </c>
      <c r="D348" s="13" t="str">
        <f>IF(A348="","",B348*'Loan EMI'!$B$9)</f>
        <v/>
      </c>
      <c r="E348" s="13" t="str">
        <f t="shared" si="1"/>
        <v/>
      </c>
      <c r="F348" s="13" t="str">
        <f t="shared" si="2"/>
        <v/>
      </c>
    </row>
    <row r="349" ht="15.75" customHeight="1">
      <c r="A349" s="10" t="str">
        <f>IF(346&lt;='Loan EMI'!$B$10,346,"")</f>
        <v/>
      </c>
      <c r="B349" s="13" t="str">
        <f t="shared" si="3"/>
        <v/>
      </c>
      <c r="C349" s="13" t="str">
        <f>IF(A349="","",'Loan EMI'!$B$11)</f>
        <v/>
      </c>
      <c r="D349" s="13" t="str">
        <f>IF(A349="","",B349*'Loan EMI'!$B$9)</f>
        <v/>
      </c>
      <c r="E349" s="13" t="str">
        <f t="shared" si="1"/>
        <v/>
      </c>
      <c r="F349" s="13" t="str">
        <f t="shared" si="2"/>
        <v/>
      </c>
    </row>
    <row r="350" ht="15.75" customHeight="1">
      <c r="A350" s="10" t="str">
        <f>IF(347&lt;='Loan EMI'!$B$10,347,"")</f>
        <v/>
      </c>
      <c r="B350" s="13" t="str">
        <f t="shared" si="3"/>
        <v/>
      </c>
      <c r="C350" s="13" t="str">
        <f>IF(A350="","",'Loan EMI'!$B$11)</f>
        <v/>
      </c>
      <c r="D350" s="13" t="str">
        <f>IF(A350="","",B350*'Loan EMI'!$B$9)</f>
        <v/>
      </c>
      <c r="E350" s="13" t="str">
        <f t="shared" si="1"/>
        <v/>
      </c>
      <c r="F350" s="13" t="str">
        <f t="shared" si="2"/>
        <v/>
      </c>
    </row>
    <row r="351" ht="15.75" customHeight="1">
      <c r="A351" s="10" t="str">
        <f>IF(348&lt;='Loan EMI'!$B$10,348,"")</f>
        <v/>
      </c>
      <c r="B351" s="13" t="str">
        <f t="shared" si="3"/>
        <v/>
      </c>
      <c r="C351" s="13" t="str">
        <f>IF(A351="","",'Loan EMI'!$B$11)</f>
        <v/>
      </c>
      <c r="D351" s="13" t="str">
        <f>IF(A351="","",B351*'Loan EMI'!$B$9)</f>
        <v/>
      </c>
      <c r="E351" s="13" t="str">
        <f t="shared" si="1"/>
        <v/>
      </c>
      <c r="F351" s="13" t="str">
        <f t="shared" si="2"/>
        <v/>
      </c>
    </row>
    <row r="352" ht="15.75" customHeight="1">
      <c r="A352" s="10" t="str">
        <f>IF(349&lt;='Loan EMI'!$B$10,349,"")</f>
        <v/>
      </c>
      <c r="B352" s="13" t="str">
        <f t="shared" si="3"/>
        <v/>
      </c>
      <c r="C352" s="13" t="str">
        <f>IF(A352="","",'Loan EMI'!$B$11)</f>
        <v/>
      </c>
      <c r="D352" s="13" t="str">
        <f>IF(A352="","",B352*'Loan EMI'!$B$9)</f>
        <v/>
      </c>
      <c r="E352" s="13" t="str">
        <f t="shared" si="1"/>
        <v/>
      </c>
      <c r="F352" s="13" t="str">
        <f t="shared" si="2"/>
        <v/>
      </c>
    </row>
    <row r="353" ht="15.75" customHeight="1">
      <c r="A353" s="10" t="str">
        <f>IF(350&lt;='Loan EMI'!$B$10,350,"")</f>
        <v/>
      </c>
      <c r="B353" s="13" t="str">
        <f t="shared" si="3"/>
        <v/>
      </c>
      <c r="C353" s="13" t="str">
        <f>IF(A353="","",'Loan EMI'!$B$11)</f>
        <v/>
      </c>
      <c r="D353" s="13" t="str">
        <f>IF(A353="","",B353*'Loan EMI'!$B$9)</f>
        <v/>
      </c>
      <c r="E353" s="13" t="str">
        <f t="shared" si="1"/>
        <v/>
      </c>
      <c r="F353" s="13" t="str">
        <f t="shared" si="2"/>
        <v/>
      </c>
    </row>
    <row r="354" ht="15.75" customHeight="1">
      <c r="A354" s="10" t="str">
        <f>IF(351&lt;='Loan EMI'!$B$10,351,"")</f>
        <v/>
      </c>
      <c r="B354" s="13" t="str">
        <f t="shared" si="3"/>
        <v/>
      </c>
      <c r="C354" s="13" t="str">
        <f>IF(A354="","",'Loan EMI'!$B$11)</f>
        <v/>
      </c>
      <c r="D354" s="13" t="str">
        <f>IF(A354="","",B354*'Loan EMI'!$B$9)</f>
        <v/>
      </c>
      <c r="E354" s="13" t="str">
        <f t="shared" si="1"/>
        <v/>
      </c>
      <c r="F354" s="13" t="str">
        <f t="shared" si="2"/>
        <v/>
      </c>
    </row>
    <row r="355" ht="15.75" customHeight="1">
      <c r="A355" s="10" t="str">
        <f>IF(352&lt;='Loan EMI'!$B$10,352,"")</f>
        <v/>
      </c>
      <c r="B355" s="13" t="str">
        <f t="shared" si="3"/>
        <v/>
      </c>
      <c r="C355" s="13" t="str">
        <f>IF(A355="","",'Loan EMI'!$B$11)</f>
        <v/>
      </c>
      <c r="D355" s="13" t="str">
        <f>IF(A355="","",B355*'Loan EMI'!$B$9)</f>
        <v/>
      </c>
      <c r="E355" s="13" t="str">
        <f t="shared" si="1"/>
        <v/>
      </c>
      <c r="F355" s="13" t="str">
        <f t="shared" si="2"/>
        <v/>
      </c>
    </row>
    <row r="356" ht="15.75" customHeight="1">
      <c r="A356" s="10" t="str">
        <f>IF(353&lt;='Loan EMI'!$B$10,353,"")</f>
        <v/>
      </c>
      <c r="B356" s="13" t="str">
        <f t="shared" si="3"/>
        <v/>
      </c>
      <c r="C356" s="13" t="str">
        <f>IF(A356="","",'Loan EMI'!$B$11)</f>
        <v/>
      </c>
      <c r="D356" s="13" t="str">
        <f>IF(A356="","",B356*'Loan EMI'!$B$9)</f>
        <v/>
      </c>
      <c r="E356" s="13" t="str">
        <f t="shared" si="1"/>
        <v/>
      </c>
      <c r="F356" s="13" t="str">
        <f t="shared" si="2"/>
        <v/>
      </c>
    </row>
    <row r="357" ht="15.75" customHeight="1">
      <c r="A357" s="10" t="str">
        <f>IF(354&lt;='Loan EMI'!$B$10,354,"")</f>
        <v/>
      </c>
      <c r="B357" s="13" t="str">
        <f t="shared" si="3"/>
        <v/>
      </c>
      <c r="C357" s="13" t="str">
        <f>IF(A357="","",'Loan EMI'!$B$11)</f>
        <v/>
      </c>
      <c r="D357" s="13" t="str">
        <f>IF(A357="","",B357*'Loan EMI'!$B$9)</f>
        <v/>
      </c>
      <c r="E357" s="13" t="str">
        <f t="shared" si="1"/>
        <v/>
      </c>
      <c r="F357" s="13" t="str">
        <f t="shared" si="2"/>
        <v/>
      </c>
    </row>
    <row r="358" ht="15.75" customHeight="1">
      <c r="A358" s="10" t="str">
        <f>IF(355&lt;='Loan EMI'!$B$10,355,"")</f>
        <v/>
      </c>
      <c r="B358" s="13" t="str">
        <f t="shared" si="3"/>
        <v/>
      </c>
      <c r="C358" s="13" t="str">
        <f>IF(A358="","",'Loan EMI'!$B$11)</f>
        <v/>
      </c>
      <c r="D358" s="13" t="str">
        <f>IF(A358="","",B358*'Loan EMI'!$B$9)</f>
        <v/>
      </c>
      <c r="E358" s="13" t="str">
        <f t="shared" si="1"/>
        <v/>
      </c>
      <c r="F358" s="13" t="str">
        <f t="shared" si="2"/>
        <v/>
      </c>
    </row>
    <row r="359" ht="15.75" customHeight="1">
      <c r="A359" s="10" t="str">
        <f>IF(356&lt;='Loan EMI'!$B$10,356,"")</f>
        <v/>
      </c>
      <c r="B359" s="13" t="str">
        <f t="shared" si="3"/>
        <v/>
      </c>
      <c r="C359" s="13" t="str">
        <f>IF(A359="","",'Loan EMI'!$B$11)</f>
        <v/>
      </c>
      <c r="D359" s="13" t="str">
        <f>IF(A359="","",B359*'Loan EMI'!$B$9)</f>
        <v/>
      </c>
      <c r="E359" s="13" t="str">
        <f t="shared" si="1"/>
        <v/>
      </c>
      <c r="F359" s="13" t="str">
        <f t="shared" si="2"/>
        <v/>
      </c>
    </row>
    <row r="360" ht="15.75" customHeight="1">
      <c r="A360" s="10" t="str">
        <f>IF(357&lt;='Loan EMI'!$B$10,357,"")</f>
        <v/>
      </c>
      <c r="B360" s="13" t="str">
        <f t="shared" si="3"/>
        <v/>
      </c>
      <c r="C360" s="13" t="str">
        <f>IF(A360="","",'Loan EMI'!$B$11)</f>
        <v/>
      </c>
      <c r="D360" s="13" t="str">
        <f>IF(A360="","",B360*'Loan EMI'!$B$9)</f>
        <v/>
      </c>
      <c r="E360" s="13" t="str">
        <f t="shared" si="1"/>
        <v/>
      </c>
      <c r="F360" s="13" t="str">
        <f t="shared" si="2"/>
        <v/>
      </c>
    </row>
    <row r="361" ht="15.75" customHeight="1">
      <c r="A361" s="10" t="str">
        <f>IF(358&lt;='Loan EMI'!$B$10,358,"")</f>
        <v/>
      </c>
      <c r="B361" s="13" t="str">
        <f t="shared" si="3"/>
        <v/>
      </c>
      <c r="C361" s="13" t="str">
        <f>IF(A361="","",'Loan EMI'!$B$11)</f>
        <v/>
      </c>
      <c r="D361" s="13" t="str">
        <f>IF(A361="","",B361*'Loan EMI'!$B$9)</f>
        <v/>
      </c>
      <c r="E361" s="13" t="str">
        <f t="shared" si="1"/>
        <v/>
      </c>
      <c r="F361" s="13" t="str">
        <f t="shared" si="2"/>
        <v/>
      </c>
    </row>
    <row r="362" ht="15.75" customHeight="1">
      <c r="A362" s="10" t="str">
        <f>IF(359&lt;='Loan EMI'!$B$10,359,"")</f>
        <v/>
      </c>
      <c r="B362" s="13" t="str">
        <f t="shared" si="3"/>
        <v/>
      </c>
      <c r="C362" s="13" t="str">
        <f>IF(A362="","",'Loan EMI'!$B$11)</f>
        <v/>
      </c>
      <c r="D362" s="13" t="str">
        <f>IF(A362="","",B362*'Loan EMI'!$B$9)</f>
        <v/>
      </c>
      <c r="E362" s="13" t="str">
        <f t="shared" si="1"/>
        <v/>
      </c>
      <c r="F362" s="13" t="str">
        <f t="shared" si="2"/>
        <v/>
      </c>
    </row>
    <row r="363" ht="15.75" customHeight="1">
      <c r="A363" s="10" t="str">
        <f>IF(360&lt;='Loan EMI'!$B$10,360,"")</f>
        <v/>
      </c>
      <c r="B363" s="13" t="str">
        <f t="shared" si="3"/>
        <v/>
      </c>
      <c r="C363" s="13" t="str">
        <f>IF(A363="","",'Loan EMI'!$B$11)</f>
        <v/>
      </c>
      <c r="D363" s="13" t="str">
        <f>IF(A363="","",B363*'Loan EMI'!$B$9)</f>
        <v/>
      </c>
      <c r="E363" s="13" t="str">
        <f t="shared" si="1"/>
        <v/>
      </c>
      <c r="F363" s="13" t="str">
        <f t="shared" si="2"/>
        <v/>
      </c>
    </row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5" width="20.0"/>
    <col customWidth="1" min="6" max="26" width="8.71"/>
  </cols>
  <sheetData>
    <row r="1">
      <c r="A1" s="1" t="s">
        <v>32</v>
      </c>
    </row>
    <row r="2">
      <c r="A2" s="2" t="s">
        <v>33</v>
      </c>
    </row>
    <row r="4">
      <c r="A4" s="3" t="s">
        <v>34</v>
      </c>
      <c r="B4" s="4">
        <v>10000.0</v>
      </c>
    </row>
    <row r="5">
      <c r="A5" s="3" t="s">
        <v>35</v>
      </c>
      <c r="B5" s="7">
        <v>0.12</v>
      </c>
    </row>
    <row r="6">
      <c r="A6" s="3" t="s">
        <v>36</v>
      </c>
      <c r="B6" s="9">
        <v>15.0</v>
      </c>
    </row>
    <row r="7">
      <c r="A7" s="3" t="s">
        <v>37</v>
      </c>
      <c r="B7" s="7">
        <v>0.0</v>
      </c>
    </row>
    <row r="9">
      <c r="A9" s="1" t="s">
        <v>20</v>
      </c>
    </row>
    <row r="10">
      <c r="A10" s="3" t="s">
        <v>38</v>
      </c>
      <c r="B10" s="12">
        <f>SUM(B19:B48)</f>
        <v>1800000</v>
      </c>
    </row>
    <row r="11">
      <c r="A11" s="3" t="s">
        <v>39</v>
      </c>
      <c r="B11" s="12">
        <f t="array" ref="B11">IFERROR(INDEX(E19:E48,B6),0)</f>
        <v>4759313.992</v>
      </c>
    </row>
    <row r="12">
      <c r="A12" s="3" t="s">
        <v>40</v>
      </c>
      <c r="B12" s="12">
        <f>B11-B10</f>
        <v>2959313.992</v>
      </c>
    </row>
    <row r="13">
      <c r="A13" s="3" t="s">
        <v>41</v>
      </c>
      <c r="B13" s="16">
        <f>IFERROR(B11/B10,0)</f>
        <v>2.644063329</v>
      </c>
    </row>
    <row r="14">
      <c r="A14" s="2" t="s">
        <v>42</v>
      </c>
    </row>
    <row r="15">
      <c r="A15" s="3" t="s">
        <v>43</v>
      </c>
      <c r="B15" s="17">
        <f>(1+B5)^(1/12)-1</f>
        <v>0.009488792935</v>
      </c>
    </row>
    <row r="18">
      <c r="A18" s="8" t="s">
        <v>44</v>
      </c>
      <c r="B18" s="8" t="s">
        <v>45</v>
      </c>
      <c r="C18" s="8" t="s">
        <v>46</v>
      </c>
      <c r="D18" s="8" t="s">
        <v>47</v>
      </c>
      <c r="E18" s="8" t="s">
        <v>48</v>
      </c>
    </row>
    <row r="19">
      <c r="A19" s="10">
        <f>IF(1&lt;=$B$6,1,"")</f>
        <v>1</v>
      </c>
      <c r="B19" s="13">
        <f t="shared" ref="B19:B48" si="1">IF(A19="","",D19*12)</f>
        <v>120000</v>
      </c>
      <c r="C19" s="13">
        <f t="shared" ref="C19:C48" si="2">IF(A19="","",SUM($B$19:B19))</f>
        <v>120000</v>
      </c>
      <c r="D19" s="13">
        <f>IF(A19="","",$B$4*(1+$B$7)^(1-1))</f>
        <v>10000</v>
      </c>
      <c r="E19" s="13">
        <f>IF(A19="","",0*(1+$B$15)^12+D19*((1+$B$15)^12-1)/$B$15*(1+$B$15))</f>
        <v>127664.9791</v>
      </c>
    </row>
    <row r="20">
      <c r="A20" s="10">
        <f>IF(2&lt;=$B$6,2,"")</f>
        <v>2</v>
      </c>
      <c r="B20" s="13">
        <f t="shared" si="1"/>
        <v>120000</v>
      </c>
      <c r="C20" s="13">
        <f t="shared" si="2"/>
        <v>240000</v>
      </c>
      <c r="D20" s="13">
        <f>IF(A20="","",$B$4*(1+$B$7)^(2-1))</f>
        <v>10000</v>
      </c>
      <c r="E20" s="13">
        <f t="shared" ref="E20:E48" si="3">IF(A20="","",E19*(1+$B$15)^12+D20*((1+$B$15)^12-1)/$B$15*(1+$B$15))</f>
        <v>270649.7557</v>
      </c>
    </row>
    <row r="21" ht="15.75" customHeight="1">
      <c r="A21" s="10">
        <f>IF(3&lt;=$B$6,3,"")</f>
        <v>3</v>
      </c>
      <c r="B21" s="13">
        <f t="shared" si="1"/>
        <v>120000</v>
      </c>
      <c r="C21" s="13">
        <f t="shared" si="2"/>
        <v>360000</v>
      </c>
      <c r="D21" s="13">
        <f>IF(A21="","",$B$4*(1+$B$7)^(3-1))</f>
        <v>10000</v>
      </c>
      <c r="E21" s="13">
        <f t="shared" si="3"/>
        <v>430792.7054</v>
      </c>
    </row>
    <row r="22" ht="15.75" customHeight="1">
      <c r="A22" s="10">
        <f>IF(4&lt;=$B$6,4,"")</f>
        <v>4</v>
      </c>
      <c r="B22" s="13">
        <f t="shared" si="1"/>
        <v>120000</v>
      </c>
      <c r="C22" s="13">
        <f t="shared" si="2"/>
        <v>480000</v>
      </c>
      <c r="D22" s="13">
        <f>IF(A22="","",$B$4*(1+$B$7)^(4-1))</f>
        <v>10000</v>
      </c>
      <c r="E22" s="13">
        <f t="shared" si="3"/>
        <v>610152.8092</v>
      </c>
    </row>
    <row r="23" ht="15.75" customHeight="1">
      <c r="A23" s="10">
        <f>IF(5&lt;=$B$6,5,"")</f>
        <v>5</v>
      </c>
      <c r="B23" s="13">
        <f t="shared" si="1"/>
        <v>120000</v>
      </c>
      <c r="C23" s="13">
        <f t="shared" si="2"/>
        <v>600000</v>
      </c>
      <c r="D23" s="13">
        <f>IF(A23="","",$B$4*(1+$B$7)^(5-1))</f>
        <v>10000</v>
      </c>
      <c r="E23" s="13">
        <f t="shared" si="3"/>
        <v>811036.1253</v>
      </c>
    </row>
    <row r="24" ht="15.75" customHeight="1">
      <c r="A24" s="10">
        <f>IF(6&lt;=$B$6,6,"")</f>
        <v>6</v>
      </c>
      <c r="B24" s="13">
        <f t="shared" si="1"/>
        <v>120000</v>
      </c>
      <c r="C24" s="13">
        <f t="shared" si="2"/>
        <v>720000</v>
      </c>
      <c r="D24" s="13">
        <f>IF(A24="","",$B$4*(1+$B$7)^(6-1))</f>
        <v>10000</v>
      </c>
      <c r="E24" s="13">
        <f t="shared" si="3"/>
        <v>1036025.439</v>
      </c>
    </row>
    <row r="25" ht="15.75" customHeight="1">
      <c r="A25" s="10">
        <f>IF(7&lt;=$B$6,7,"")</f>
        <v>7</v>
      </c>
      <c r="B25" s="13">
        <f t="shared" si="1"/>
        <v>120000</v>
      </c>
      <c r="C25" s="13">
        <f t="shared" si="2"/>
        <v>840000</v>
      </c>
      <c r="D25" s="13">
        <f>IF(A25="","",$B$4*(1+$B$7)^(7-1))</f>
        <v>10000</v>
      </c>
      <c r="E25" s="13">
        <f t="shared" si="3"/>
        <v>1288013.471</v>
      </c>
    </row>
    <row r="26" ht="15.75" customHeight="1">
      <c r="A26" s="10">
        <f>IF(8&lt;=$B$6,8,"")</f>
        <v>8</v>
      </c>
      <c r="B26" s="13">
        <f t="shared" si="1"/>
        <v>120000</v>
      </c>
      <c r="C26" s="13">
        <f t="shared" si="2"/>
        <v>960000</v>
      </c>
      <c r="D26" s="13">
        <f>IF(A26="","",$B$4*(1+$B$7)^(8-1))</f>
        <v>10000</v>
      </c>
      <c r="E26" s="13">
        <f t="shared" si="3"/>
        <v>1570240.067</v>
      </c>
    </row>
    <row r="27" ht="15.75" customHeight="1">
      <c r="A27" s="10">
        <f>IF(9&lt;=$B$6,9,"")</f>
        <v>9</v>
      </c>
      <c r="B27" s="13">
        <f t="shared" si="1"/>
        <v>120000</v>
      </c>
      <c r="C27" s="13">
        <f t="shared" si="2"/>
        <v>1080000</v>
      </c>
      <c r="D27" s="13">
        <f>IF(A27="","",$B$4*(1+$B$7)^(9-1))</f>
        <v>10000</v>
      </c>
      <c r="E27" s="13">
        <f t="shared" si="3"/>
        <v>1886333.854</v>
      </c>
    </row>
    <row r="28" ht="15.75" customHeight="1">
      <c r="A28" s="10">
        <f>IF(10&lt;=$B$6,10,"")</f>
        <v>10</v>
      </c>
      <c r="B28" s="13">
        <f t="shared" si="1"/>
        <v>120000</v>
      </c>
      <c r="C28" s="13">
        <f t="shared" si="2"/>
        <v>1200000</v>
      </c>
      <c r="D28" s="13">
        <f>IF(A28="","",$B$4*(1+$B$7)^(10-1))</f>
        <v>10000</v>
      </c>
      <c r="E28" s="13">
        <f t="shared" si="3"/>
        <v>2240358.896</v>
      </c>
    </row>
    <row r="29" ht="15.75" customHeight="1">
      <c r="A29" s="10">
        <f>IF(11&lt;=$B$6,11,"")</f>
        <v>11</v>
      </c>
      <c r="B29" s="13">
        <f t="shared" si="1"/>
        <v>120000</v>
      </c>
      <c r="C29" s="13">
        <f t="shared" si="2"/>
        <v>1320000</v>
      </c>
      <c r="D29" s="13">
        <f>IF(A29="","",$B$4*(1+$B$7)^(11-1))</f>
        <v>10000</v>
      </c>
      <c r="E29" s="13">
        <f t="shared" si="3"/>
        <v>2636866.942</v>
      </c>
    </row>
    <row r="30" ht="15.75" customHeight="1">
      <c r="A30" s="10">
        <f>IF(12&lt;=$B$6,12,"")</f>
        <v>12</v>
      </c>
      <c r="B30" s="13">
        <f t="shared" si="1"/>
        <v>120000</v>
      </c>
      <c r="C30" s="13">
        <f t="shared" si="2"/>
        <v>1440000</v>
      </c>
      <c r="D30" s="13">
        <f>IF(A30="","",$B$4*(1+$B$7)^(12-1))</f>
        <v>10000</v>
      </c>
      <c r="E30" s="13">
        <f t="shared" si="3"/>
        <v>3080955.954</v>
      </c>
    </row>
    <row r="31" ht="15.75" customHeight="1">
      <c r="A31" s="10">
        <f>IF(13&lt;=$B$6,13,"")</f>
        <v>13</v>
      </c>
      <c r="B31" s="13">
        <f t="shared" si="1"/>
        <v>120000</v>
      </c>
      <c r="C31" s="13">
        <f t="shared" si="2"/>
        <v>1560000</v>
      </c>
      <c r="D31" s="13">
        <f>IF(A31="","",$B$4*(1+$B$7)^(13-1))</f>
        <v>10000</v>
      </c>
      <c r="E31" s="13">
        <f t="shared" si="3"/>
        <v>3578335.648</v>
      </c>
    </row>
    <row r="32" ht="15.75" customHeight="1">
      <c r="A32" s="10">
        <f>IF(14&lt;=$B$6,14,"")</f>
        <v>14</v>
      </c>
      <c r="B32" s="13">
        <f t="shared" si="1"/>
        <v>120000</v>
      </c>
      <c r="C32" s="13">
        <f t="shared" si="2"/>
        <v>1680000</v>
      </c>
      <c r="D32" s="13">
        <f>IF(A32="","",$B$4*(1+$B$7)^(14-1))</f>
        <v>10000</v>
      </c>
      <c r="E32" s="13">
        <f t="shared" si="3"/>
        <v>4135400.905</v>
      </c>
    </row>
    <row r="33" ht="15.75" customHeight="1">
      <c r="A33" s="10">
        <f>IF(15&lt;=$B$6,15,"")</f>
        <v>15</v>
      </c>
      <c r="B33" s="13">
        <f t="shared" si="1"/>
        <v>120000</v>
      </c>
      <c r="C33" s="13">
        <f t="shared" si="2"/>
        <v>1800000</v>
      </c>
      <c r="D33" s="13">
        <f>IF(A33="","",$B$4*(1+$B$7)^(15-1))</f>
        <v>10000</v>
      </c>
      <c r="E33" s="13">
        <f t="shared" si="3"/>
        <v>4759313.992</v>
      </c>
    </row>
    <row r="34" ht="15.75" customHeight="1">
      <c r="A34" s="10" t="str">
        <f>IF(16&lt;=$B$6,16,"")</f>
        <v/>
      </c>
      <c r="B34" s="13" t="str">
        <f t="shared" si="1"/>
        <v/>
      </c>
      <c r="C34" s="13" t="str">
        <f t="shared" si="2"/>
        <v/>
      </c>
      <c r="D34" s="13" t="str">
        <f>IF(A34="","",$B$4*(1+$B$7)^(16-1))</f>
        <v/>
      </c>
      <c r="E34" s="13" t="str">
        <f t="shared" si="3"/>
        <v/>
      </c>
    </row>
    <row r="35" ht="15.75" customHeight="1">
      <c r="A35" s="10" t="str">
        <f>IF(17&lt;=$B$6,17,"")</f>
        <v/>
      </c>
      <c r="B35" s="13" t="str">
        <f t="shared" si="1"/>
        <v/>
      </c>
      <c r="C35" s="13" t="str">
        <f t="shared" si="2"/>
        <v/>
      </c>
      <c r="D35" s="13" t="str">
        <f>IF(A35="","",$B$4*(1+$B$7)^(17-1))</f>
        <v/>
      </c>
      <c r="E35" s="13" t="str">
        <f t="shared" si="3"/>
        <v/>
      </c>
    </row>
    <row r="36" ht="15.75" customHeight="1">
      <c r="A36" s="10" t="str">
        <f>IF(18&lt;=$B$6,18,"")</f>
        <v/>
      </c>
      <c r="B36" s="13" t="str">
        <f t="shared" si="1"/>
        <v/>
      </c>
      <c r="C36" s="13" t="str">
        <f t="shared" si="2"/>
        <v/>
      </c>
      <c r="D36" s="13" t="str">
        <f>IF(A36="","",$B$4*(1+$B$7)^(18-1))</f>
        <v/>
      </c>
      <c r="E36" s="13" t="str">
        <f t="shared" si="3"/>
        <v/>
      </c>
    </row>
    <row r="37" ht="15.75" customHeight="1">
      <c r="A37" s="10" t="str">
        <f>IF(19&lt;=$B$6,19,"")</f>
        <v/>
      </c>
      <c r="B37" s="13" t="str">
        <f t="shared" si="1"/>
        <v/>
      </c>
      <c r="C37" s="13" t="str">
        <f t="shared" si="2"/>
        <v/>
      </c>
      <c r="D37" s="13" t="str">
        <f>IF(A37="","",$B$4*(1+$B$7)^(19-1))</f>
        <v/>
      </c>
      <c r="E37" s="13" t="str">
        <f t="shared" si="3"/>
        <v/>
      </c>
    </row>
    <row r="38" ht="15.75" customHeight="1">
      <c r="A38" s="10" t="str">
        <f>IF(20&lt;=$B$6,20,"")</f>
        <v/>
      </c>
      <c r="B38" s="13" t="str">
        <f t="shared" si="1"/>
        <v/>
      </c>
      <c r="C38" s="13" t="str">
        <f t="shared" si="2"/>
        <v/>
      </c>
      <c r="D38" s="13" t="str">
        <f>IF(A38="","",$B$4*(1+$B$7)^(20-1))</f>
        <v/>
      </c>
      <c r="E38" s="13" t="str">
        <f t="shared" si="3"/>
        <v/>
      </c>
    </row>
    <row r="39" ht="15.75" customHeight="1">
      <c r="A39" s="10" t="str">
        <f>IF(21&lt;=$B$6,21,"")</f>
        <v/>
      </c>
      <c r="B39" s="13" t="str">
        <f t="shared" si="1"/>
        <v/>
      </c>
      <c r="C39" s="13" t="str">
        <f t="shared" si="2"/>
        <v/>
      </c>
      <c r="D39" s="13" t="str">
        <f>IF(A39="","",$B$4*(1+$B$7)^(21-1))</f>
        <v/>
      </c>
      <c r="E39" s="13" t="str">
        <f t="shared" si="3"/>
        <v/>
      </c>
    </row>
    <row r="40" ht="15.75" customHeight="1">
      <c r="A40" s="10" t="str">
        <f>IF(22&lt;=$B$6,22,"")</f>
        <v/>
      </c>
      <c r="B40" s="13" t="str">
        <f t="shared" si="1"/>
        <v/>
      </c>
      <c r="C40" s="13" t="str">
        <f t="shared" si="2"/>
        <v/>
      </c>
      <c r="D40" s="13" t="str">
        <f>IF(A40="","",$B$4*(1+$B$7)^(22-1))</f>
        <v/>
      </c>
      <c r="E40" s="13" t="str">
        <f t="shared" si="3"/>
        <v/>
      </c>
    </row>
    <row r="41" ht="15.75" customHeight="1">
      <c r="A41" s="10" t="str">
        <f>IF(23&lt;=$B$6,23,"")</f>
        <v/>
      </c>
      <c r="B41" s="13" t="str">
        <f t="shared" si="1"/>
        <v/>
      </c>
      <c r="C41" s="13" t="str">
        <f t="shared" si="2"/>
        <v/>
      </c>
      <c r="D41" s="13" t="str">
        <f>IF(A41="","",$B$4*(1+$B$7)^(23-1))</f>
        <v/>
      </c>
      <c r="E41" s="13" t="str">
        <f t="shared" si="3"/>
        <v/>
      </c>
    </row>
    <row r="42" ht="15.75" customHeight="1">
      <c r="A42" s="10" t="str">
        <f>IF(24&lt;=$B$6,24,"")</f>
        <v/>
      </c>
      <c r="B42" s="13" t="str">
        <f t="shared" si="1"/>
        <v/>
      </c>
      <c r="C42" s="13" t="str">
        <f t="shared" si="2"/>
        <v/>
      </c>
      <c r="D42" s="13" t="str">
        <f>IF(A42="","",$B$4*(1+$B$7)^(24-1))</f>
        <v/>
      </c>
      <c r="E42" s="13" t="str">
        <f t="shared" si="3"/>
        <v/>
      </c>
    </row>
    <row r="43" ht="15.75" customHeight="1">
      <c r="A43" s="10" t="str">
        <f>IF(25&lt;=$B$6,25,"")</f>
        <v/>
      </c>
      <c r="B43" s="13" t="str">
        <f t="shared" si="1"/>
        <v/>
      </c>
      <c r="C43" s="13" t="str">
        <f t="shared" si="2"/>
        <v/>
      </c>
      <c r="D43" s="13" t="str">
        <f>IF(A43="","",$B$4*(1+$B$7)^(25-1))</f>
        <v/>
      </c>
      <c r="E43" s="13" t="str">
        <f t="shared" si="3"/>
        <v/>
      </c>
    </row>
    <row r="44" ht="15.75" customHeight="1">
      <c r="A44" s="10" t="str">
        <f>IF(26&lt;=$B$6,26,"")</f>
        <v/>
      </c>
      <c r="B44" s="13" t="str">
        <f t="shared" si="1"/>
        <v/>
      </c>
      <c r="C44" s="13" t="str">
        <f t="shared" si="2"/>
        <v/>
      </c>
      <c r="D44" s="13" t="str">
        <f>IF(A44="","",$B$4*(1+$B$7)^(26-1))</f>
        <v/>
      </c>
      <c r="E44" s="13" t="str">
        <f t="shared" si="3"/>
        <v/>
      </c>
    </row>
    <row r="45" ht="15.75" customHeight="1">
      <c r="A45" s="10" t="str">
        <f>IF(27&lt;=$B$6,27,"")</f>
        <v/>
      </c>
      <c r="B45" s="13" t="str">
        <f t="shared" si="1"/>
        <v/>
      </c>
      <c r="C45" s="13" t="str">
        <f t="shared" si="2"/>
        <v/>
      </c>
      <c r="D45" s="13" t="str">
        <f>IF(A45="","",$B$4*(1+$B$7)^(27-1))</f>
        <v/>
      </c>
      <c r="E45" s="13" t="str">
        <f t="shared" si="3"/>
        <v/>
      </c>
    </row>
    <row r="46" ht="15.75" customHeight="1">
      <c r="A46" s="10" t="str">
        <f>IF(28&lt;=$B$6,28,"")</f>
        <v/>
      </c>
      <c r="B46" s="13" t="str">
        <f t="shared" si="1"/>
        <v/>
      </c>
      <c r="C46" s="13" t="str">
        <f t="shared" si="2"/>
        <v/>
      </c>
      <c r="D46" s="13" t="str">
        <f>IF(A46="","",$B$4*(1+$B$7)^(28-1))</f>
        <v/>
      </c>
      <c r="E46" s="13" t="str">
        <f t="shared" si="3"/>
        <v/>
      </c>
    </row>
    <row r="47" ht="15.75" customHeight="1">
      <c r="A47" s="10" t="str">
        <f>IF(29&lt;=$B$6,29,"")</f>
        <v/>
      </c>
      <c r="B47" s="13" t="str">
        <f t="shared" si="1"/>
        <v/>
      </c>
      <c r="C47" s="13" t="str">
        <f t="shared" si="2"/>
        <v/>
      </c>
      <c r="D47" s="13" t="str">
        <f>IF(A47="","",$B$4*(1+$B$7)^(29-1))</f>
        <v/>
      </c>
      <c r="E47" s="13" t="str">
        <f t="shared" si="3"/>
        <v/>
      </c>
    </row>
    <row r="48" ht="15.75" customHeight="1">
      <c r="A48" s="10" t="str">
        <f>IF(30&lt;=$B$6,30,"")</f>
        <v/>
      </c>
      <c r="B48" s="13" t="str">
        <f t="shared" si="1"/>
        <v/>
      </c>
      <c r="C48" s="13" t="str">
        <f t="shared" si="2"/>
        <v/>
      </c>
      <c r="D48" s="13" t="str">
        <f>IF(A48="","",$B$4*(1+$B$7)^(30-1))</f>
        <v/>
      </c>
      <c r="E48" s="13" t="str">
        <f t="shared" si="3"/>
        <v/>
      </c>
    </row>
    <row r="49" ht="15.75" customHeight="1"/>
    <row r="50" ht="15.75" customHeight="1">
      <c r="A50" s="2" t="s">
        <v>49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4.0"/>
    <col customWidth="1" min="3" max="3" width="16.0"/>
    <col customWidth="1" min="4" max="4" width="18.0"/>
    <col customWidth="1" min="5" max="5" width="16.0"/>
    <col customWidth="1" min="6" max="26" width="8.71"/>
  </cols>
  <sheetData>
    <row r="1">
      <c r="A1" s="1" t="s">
        <v>2</v>
      </c>
    </row>
    <row r="2">
      <c r="A2" s="2" t="s">
        <v>3</v>
      </c>
    </row>
    <row r="4">
      <c r="A4" s="3" t="s">
        <v>4</v>
      </c>
      <c r="B4" s="4">
        <v>100000.0</v>
      </c>
    </row>
    <row r="5">
      <c r="A5" s="3" t="s">
        <v>8</v>
      </c>
      <c r="B5" s="6">
        <v>5.0</v>
      </c>
    </row>
    <row r="7">
      <c r="A7" s="8" t="s">
        <v>14</v>
      </c>
      <c r="B7" s="8" t="s">
        <v>16</v>
      </c>
      <c r="C7" s="8" t="s">
        <v>17</v>
      </c>
      <c r="D7" s="8" t="s">
        <v>18</v>
      </c>
      <c r="E7" s="8" t="s">
        <v>19</v>
      </c>
    </row>
    <row r="8">
      <c r="A8" s="10" t="s">
        <v>21</v>
      </c>
      <c r="B8" s="7">
        <v>0.03</v>
      </c>
      <c r="C8" s="9">
        <v>4.0</v>
      </c>
      <c r="D8" s="12">
        <f t="shared" ref="D8:D11" si="1">$B$4*(1+B8/C8)^(C8*$B$5)</f>
        <v>116118.4142</v>
      </c>
      <c r="E8" s="12">
        <f t="shared" ref="E8:E11" si="2">D8-$B$4</f>
        <v>16118.41423</v>
      </c>
    </row>
    <row r="9">
      <c r="A9" s="10" t="s">
        <v>25</v>
      </c>
      <c r="B9" s="7">
        <v>0.07</v>
      </c>
      <c r="C9" s="9">
        <v>4.0</v>
      </c>
      <c r="D9" s="12">
        <f t="shared" si="1"/>
        <v>141477.8196</v>
      </c>
      <c r="E9" s="12">
        <f t="shared" si="2"/>
        <v>41477.81958</v>
      </c>
    </row>
    <row r="10">
      <c r="A10" s="10" t="s">
        <v>26</v>
      </c>
      <c r="B10" s="7">
        <v>0.075</v>
      </c>
      <c r="C10" s="9">
        <v>1.0</v>
      </c>
      <c r="D10" s="12">
        <f t="shared" si="1"/>
        <v>143562.9326</v>
      </c>
      <c r="E10" s="12">
        <f t="shared" si="2"/>
        <v>43562.93262</v>
      </c>
    </row>
    <row r="11">
      <c r="A11" s="10" t="s">
        <v>27</v>
      </c>
      <c r="B11" s="7">
        <v>0.12</v>
      </c>
      <c r="C11" s="9">
        <v>1.0</v>
      </c>
      <c r="D11" s="12">
        <f t="shared" si="1"/>
        <v>176234.1683</v>
      </c>
      <c r="E11" s="12">
        <f t="shared" si="2"/>
        <v>76234.16832</v>
      </c>
    </row>
    <row r="13">
      <c r="A13" s="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